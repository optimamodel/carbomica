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Jetina Juliet Tsvaki\Desktop\carbomica-total-budget-2\"/>
    </mc:Choice>
  </mc:AlternateContent>
  <xr:revisionPtr revIDLastSave="0" documentId="13_ncr:1_{EC6A2A62-1EB5-4937-AA56-FB21341D432D}" xr6:coauthVersionLast="47" xr6:coauthVersionMax="47" xr10:uidLastSave="{00000000-0000-0000-0000-000000000000}"/>
  <bookViews>
    <workbookView xWindow="-110" yWindow="-110" windowWidth="19420" windowHeight="11500" firstSheet="4" activeTab="4" xr2:uid="{0286FA47-14CE-4473-A2C3-5B41DC540DBC}"/>
  </bookViews>
  <sheets>
    <sheet name="Contents" sheetId="10" r:id="rId1"/>
    <sheet name="facility" sheetId="5" r:id="rId2"/>
    <sheet name="emission sources" sheetId="7" r:id="rId3"/>
    <sheet name="emission data" sheetId="3" r:id="rId4"/>
    <sheet name="interventions" sheetId="4" r:id="rId5"/>
    <sheet name="exclusions" sheetId="12" r:id="rId6"/>
    <sheet name="emission targets" sheetId="9" r:id="rId7"/>
    <sheet name="effect sizes" sheetId="6" r:id="rId8"/>
    <sheet name="implementation costs" sheetId="11" r:id="rId9"/>
    <sheet name="maintenance costs" sheetId="2" r:id="rId10"/>
  </sheets>
  <externalReferences>
    <externalReference r:id="rId1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1" l="1"/>
  <c r="H2" i="11"/>
  <c r="H2" i="2" s="1"/>
  <c r="G2" i="2"/>
  <c r="I2" i="2"/>
  <c r="J2" i="11"/>
  <c r="F2" i="2" l="1"/>
  <c r="E2" i="2"/>
  <c r="D2" i="11"/>
  <c r="D2" i="2" s="1"/>
  <c r="C2" i="11"/>
  <c r="B2" i="2"/>
  <c r="I1" i="9"/>
  <c r="J1" i="3"/>
  <c r="I1" i="3"/>
  <c r="A309" i="11"/>
  <c r="A308" i="11"/>
  <c r="A307" i="11"/>
  <c r="A306" i="11"/>
  <c r="A305" i="11"/>
  <c r="A304" i="11"/>
  <c r="A303" i="11"/>
  <c r="A302" i="11"/>
  <c r="A301" i="11"/>
  <c r="A300" i="11"/>
  <c r="A299" i="11"/>
  <c r="A298" i="11"/>
  <c r="A297" i="11"/>
  <c r="A296" i="11"/>
  <c r="A295" i="11"/>
  <c r="A294" i="11"/>
  <c r="A293" i="11"/>
  <c r="A292" i="11"/>
  <c r="A291" i="11"/>
  <c r="A290" i="11"/>
  <c r="A289" i="11"/>
  <c r="A288" i="11"/>
  <c r="A287" i="11"/>
  <c r="A286" i="11"/>
  <c r="A285" i="11"/>
  <c r="A284" i="11"/>
  <c r="A283" i="11"/>
  <c r="A282" i="11"/>
  <c r="A281" i="11"/>
  <c r="A280" i="11"/>
  <c r="A279" i="11"/>
  <c r="A278" i="11"/>
  <c r="A277" i="11"/>
  <c r="A276" i="11"/>
  <c r="A275" i="11"/>
  <c r="A274" i="11"/>
  <c r="A273" i="11"/>
  <c r="A272" i="11"/>
  <c r="A271" i="11"/>
  <c r="A270" i="11"/>
  <c r="A269" i="11"/>
  <c r="A268" i="11"/>
  <c r="A267" i="11"/>
  <c r="A266" i="11"/>
  <c r="A265" i="11"/>
  <c r="A264" i="11"/>
  <c r="A263" i="11"/>
  <c r="A262" i="11"/>
  <c r="A261" i="11"/>
  <c r="A260" i="11"/>
  <c r="A259" i="11"/>
  <c r="A258" i="11"/>
  <c r="A257" i="11"/>
  <c r="A256" i="11"/>
  <c r="A255" i="11"/>
  <c r="A254" i="11"/>
  <c r="A253" i="11"/>
  <c r="A252" i="11"/>
  <c r="A251" i="11"/>
  <c r="A250" i="11"/>
  <c r="A249" i="11"/>
  <c r="A248" i="11"/>
  <c r="A247" i="11"/>
  <c r="A246" i="11"/>
  <c r="A245" i="11"/>
  <c r="A244" i="11"/>
  <c r="A243" i="11"/>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208" i="11"/>
  <c r="A207" i="11"/>
  <c r="A206" i="11"/>
  <c r="A205" i="11"/>
  <c r="A204" i="11"/>
  <c r="A203" i="11"/>
  <c r="A202" i="11"/>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8" i="11"/>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2" i="11"/>
  <c r="KJ1" i="11"/>
  <c r="KI1" i="11"/>
  <c r="KH1" i="11"/>
  <c r="KG1" i="11"/>
  <c r="KF1" i="11"/>
  <c r="KE1" i="11"/>
  <c r="KD1" i="11"/>
  <c r="KC1" i="11"/>
  <c r="KB1" i="11"/>
  <c r="KA1" i="11"/>
  <c r="JZ1" i="11"/>
  <c r="JY1" i="11"/>
  <c r="JX1" i="11"/>
  <c r="JW1" i="11"/>
  <c r="JV1" i="11"/>
  <c r="JU1" i="11"/>
  <c r="JT1" i="11"/>
  <c r="JS1" i="11"/>
  <c r="JR1" i="11"/>
  <c r="JQ1" i="11"/>
  <c r="JP1" i="11"/>
  <c r="JO1" i="11"/>
  <c r="JN1" i="11"/>
  <c r="JM1" i="11"/>
  <c r="JL1" i="11"/>
  <c r="JK1" i="11"/>
  <c r="JJ1" i="11"/>
  <c r="JI1" i="11"/>
  <c r="JH1" i="11"/>
  <c r="JG1" i="11"/>
  <c r="JF1" i="11"/>
  <c r="JE1" i="11"/>
  <c r="JD1" i="11"/>
  <c r="JC1" i="11"/>
  <c r="JB1" i="11"/>
  <c r="JA1" i="11"/>
  <c r="IZ1" i="11"/>
  <c r="IY1" i="11"/>
  <c r="IX1" i="11"/>
  <c r="IW1" i="11"/>
  <c r="IV1" i="11"/>
  <c r="IU1" i="11"/>
  <c r="IT1" i="11"/>
  <c r="IS1" i="11"/>
  <c r="IR1" i="11"/>
  <c r="IQ1" i="11"/>
  <c r="IP1" i="11"/>
  <c r="IO1" i="11"/>
  <c r="IN1" i="11"/>
  <c r="IM1" i="11"/>
  <c r="IL1" i="11"/>
  <c r="IK1" i="11"/>
  <c r="IJ1" i="11"/>
  <c r="II1" i="11"/>
  <c r="IH1" i="11"/>
  <c r="IG1" i="11"/>
  <c r="IF1" i="11"/>
  <c r="IE1" i="11"/>
  <c r="ID1" i="11"/>
  <c r="IC1" i="11"/>
  <c r="IB1" i="11"/>
  <c r="IA1" i="11"/>
  <c r="HZ1" i="11"/>
  <c r="HY1" i="11"/>
  <c r="HX1" i="11"/>
  <c r="HW1" i="11"/>
  <c r="HV1" i="11"/>
  <c r="HU1" i="11"/>
  <c r="HT1" i="11"/>
  <c r="HS1" i="11"/>
  <c r="HR1" i="11"/>
  <c r="HQ1" i="11"/>
  <c r="HP1" i="11"/>
  <c r="HO1" i="11"/>
  <c r="HN1" i="11"/>
  <c r="HM1" i="11"/>
  <c r="HL1" i="11"/>
  <c r="HK1" i="11"/>
  <c r="HJ1" i="11"/>
  <c r="HI1" i="11"/>
  <c r="HH1" i="11"/>
  <c r="HG1" i="11"/>
  <c r="HF1" i="11"/>
  <c r="HE1" i="11"/>
  <c r="HD1" i="11"/>
  <c r="HC1" i="11"/>
  <c r="HB1" i="11"/>
  <c r="HA1" i="11"/>
  <c r="GZ1" i="11"/>
  <c r="GY1" i="11"/>
  <c r="GX1" i="11"/>
  <c r="GW1" i="11"/>
  <c r="GV1" i="11"/>
  <c r="GU1" i="11"/>
  <c r="GT1" i="11"/>
  <c r="GS1" i="11"/>
  <c r="GR1" i="11"/>
  <c r="GQ1" i="11"/>
  <c r="GP1" i="11"/>
  <c r="GO1" i="11"/>
  <c r="GN1" i="11"/>
  <c r="GM1" i="11"/>
  <c r="GL1" i="11"/>
  <c r="GK1" i="11"/>
  <c r="GJ1" i="11"/>
  <c r="GI1" i="11"/>
  <c r="GH1" i="11"/>
  <c r="GG1" i="11"/>
  <c r="GF1" i="11"/>
  <c r="GE1" i="11"/>
  <c r="GD1" i="11"/>
  <c r="GC1" i="11"/>
  <c r="GB1" i="11"/>
  <c r="GA1" i="11"/>
  <c r="FZ1" i="11"/>
  <c r="FY1" i="11"/>
  <c r="FX1" i="11"/>
  <c r="FW1" i="11"/>
  <c r="FV1" i="11"/>
  <c r="FU1" i="11"/>
  <c r="FT1" i="11"/>
  <c r="FS1" i="11"/>
  <c r="FR1" i="11"/>
  <c r="FQ1" i="11"/>
  <c r="FP1" i="11"/>
  <c r="FO1" i="11"/>
  <c r="FN1" i="11"/>
  <c r="FM1" i="11"/>
  <c r="FL1" i="11"/>
  <c r="FK1" i="11"/>
  <c r="FJ1" i="11"/>
  <c r="FI1" i="11"/>
  <c r="FH1" i="11"/>
  <c r="FG1" i="11"/>
  <c r="FF1" i="11"/>
  <c r="FE1" i="11"/>
  <c r="FD1" i="11"/>
  <c r="FC1" i="11"/>
  <c r="FB1" i="11"/>
  <c r="FA1" i="11"/>
  <c r="EZ1" i="11"/>
  <c r="EY1" i="11"/>
  <c r="EX1" i="11"/>
  <c r="EW1" i="11"/>
  <c r="EV1" i="11"/>
  <c r="EU1" i="11"/>
  <c r="ET1" i="11"/>
  <c r="ES1" i="11"/>
  <c r="ER1" i="11"/>
  <c r="EQ1" i="11"/>
  <c r="EP1" i="11"/>
  <c r="EO1" i="11"/>
  <c r="EN1" i="11"/>
  <c r="EM1" i="11"/>
  <c r="EL1" i="11"/>
  <c r="EK1" i="11"/>
  <c r="EJ1" i="11"/>
  <c r="EI1" i="11"/>
  <c r="EH1" i="11"/>
  <c r="EG1" i="11"/>
  <c r="EF1" i="11"/>
  <c r="EE1" i="11"/>
  <c r="ED1" i="11"/>
  <c r="EC1" i="11"/>
  <c r="EB1" i="11"/>
  <c r="EA1" i="11"/>
  <c r="DZ1" i="11"/>
  <c r="DY1" i="11"/>
  <c r="DX1" i="11"/>
  <c r="DW1" i="11"/>
  <c r="DV1" i="11"/>
  <c r="DU1" i="11"/>
  <c r="DT1" i="11"/>
  <c r="DS1" i="11"/>
  <c r="DR1" i="11"/>
  <c r="DQ1" i="11"/>
  <c r="DP1" i="11"/>
  <c r="DO1" i="11"/>
  <c r="DN1" i="11"/>
  <c r="DM1" i="11"/>
  <c r="DL1" i="11"/>
  <c r="DK1" i="11"/>
  <c r="DJ1" i="11"/>
  <c r="DI1" i="11"/>
  <c r="DH1" i="11"/>
  <c r="DG1" i="11"/>
  <c r="DF1" i="11"/>
  <c r="DE1" i="11"/>
  <c r="DD1" i="11"/>
  <c r="DC1" i="11"/>
  <c r="DB1" i="11"/>
  <c r="DA1" i="11"/>
  <c r="CZ1" i="11"/>
  <c r="CY1" i="11"/>
  <c r="CX1" i="11"/>
  <c r="CW1" i="11"/>
  <c r="CV1" i="11"/>
  <c r="CU1" i="11"/>
  <c r="CT1" i="11"/>
  <c r="CS1" i="11"/>
  <c r="CR1" i="11"/>
  <c r="CQ1" i="11"/>
  <c r="CP1" i="11"/>
  <c r="CO1" i="11"/>
  <c r="CN1" i="11"/>
  <c r="CM1" i="11"/>
  <c r="CL1" i="11"/>
  <c r="CK1" i="11"/>
  <c r="CJ1" i="11"/>
  <c r="CI1" i="11"/>
  <c r="CH1" i="11"/>
  <c r="CG1" i="11"/>
  <c r="CF1" i="11"/>
  <c r="CE1" i="11"/>
  <c r="CD1" i="11"/>
  <c r="CC1" i="11"/>
  <c r="CB1" i="11"/>
  <c r="CA1" i="11"/>
  <c r="BZ1" i="11"/>
  <c r="BY1" i="11"/>
  <c r="BX1" i="11"/>
  <c r="BW1" i="11"/>
  <c r="BV1" i="11"/>
  <c r="BU1" i="11"/>
  <c r="BT1" i="11"/>
  <c r="BS1" i="11"/>
  <c r="BR1" i="11"/>
  <c r="BQ1" i="11"/>
  <c r="BP1" i="11"/>
  <c r="BO1" i="11"/>
  <c r="BN1" i="11"/>
  <c r="BM1" i="11"/>
  <c r="BL1" i="11"/>
  <c r="BK1" i="11"/>
  <c r="BJ1" i="11"/>
  <c r="BI1" i="11"/>
  <c r="BH1" i="11"/>
  <c r="BG1" i="11"/>
  <c r="BF1" i="11"/>
  <c r="BE1" i="11"/>
  <c r="BD1" i="11"/>
  <c r="BC1" i="11"/>
  <c r="BB1" i="11"/>
  <c r="BA1" i="11"/>
  <c r="AZ1" i="11"/>
  <c r="AY1" i="11"/>
  <c r="AX1" i="11"/>
  <c r="AW1" i="11"/>
  <c r="AV1" i="11"/>
  <c r="AU1" i="11"/>
  <c r="AT1" i="11"/>
  <c r="AS1" i="11"/>
  <c r="AR1" i="11"/>
  <c r="AQ1" i="11"/>
  <c r="AP1" i="11"/>
  <c r="AO1" i="11"/>
  <c r="AN1" i="11"/>
  <c r="AM1" i="11"/>
  <c r="AL1" i="11"/>
  <c r="AK1" i="11"/>
  <c r="AJ1" i="11"/>
  <c r="AI1" i="11"/>
  <c r="AH1" i="11"/>
  <c r="AG1" i="11"/>
  <c r="AF1" i="11"/>
  <c r="AE1" i="11"/>
  <c r="AD1" i="11"/>
  <c r="AC1" i="11"/>
  <c r="AB1" i="11"/>
  <c r="AA1" i="11"/>
  <c r="Z1" i="11"/>
  <c r="Y1" i="11"/>
  <c r="X1" i="11"/>
  <c r="W1" i="11"/>
  <c r="V1" i="11"/>
  <c r="U1" i="11"/>
  <c r="T1" i="11"/>
  <c r="S1" i="11"/>
  <c r="R1" i="11"/>
  <c r="Q1" i="11"/>
  <c r="P1" i="11"/>
  <c r="O1" i="11"/>
  <c r="N1" i="11"/>
  <c r="M1" i="11"/>
  <c r="L1" i="11"/>
  <c r="K1" i="11"/>
  <c r="J1" i="11"/>
  <c r="I1" i="11"/>
  <c r="H1" i="11"/>
  <c r="G1" i="11"/>
  <c r="F1" i="11"/>
  <c r="E1" i="11"/>
  <c r="D1" i="11"/>
  <c r="C1" i="11"/>
  <c r="B1" i="11"/>
  <c r="D1" i="9"/>
  <c r="H1" i="3"/>
  <c r="H1" i="9" l="1"/>
  <c r="G1" i="9"/>
  <c r="F1" i="9"/>
  <c r="E1" i="9"/>
  <c r="C1" i="9"/>
  <c r="B1" i="9"/>
  <c r="G1" i="3"/>
  <c r="F1" i="3"/>
  <c r="E1" i="3"/>
  <c r="D1" i="3"/>
  <c r="C1" i="3"/>
  <c r="KB1" i="9" l="1"/>
  <c r="KA1" i="9"/>
  <c r="JZ1" i="9"/>
  <c r="JY1" i="9"/>
  <c r="JX1" i="9"/>
  <c r="JW1" i="9"/>
  <c r="JV1" i="9"/>
  <c r="JU1" i="9"/>
  <c r="JT1" i="9"/>
  <c r="JS1" i="9"/>
  <c r="JR1" i="9"/>
  <c r="JQ1" i="9"/>
  <c r="JP1" i="9"/>
  <c r="JO1" i="9"/>
  <c r="JN1" i="9"/>
  <c r="JM1" i="9"/>
  <c r="JL1" i="9"/>
  <c r="JK1" i="9"/>
  <c r="JJ1" i="9"/>
  <c r="JI1" i="9"/>
  <c r="JH1" i="9"/>
  <c r="JG1" i="9"/>
  <c r="JF1" i="9"/>
  <c r="JE1" i="9"/>
  <c r="JD1" i="9"/>
  <c r="JC1" i="9"/>
  <c r="JB1" i="9"/>
  <c r="JA1" i="9"/>
  <c r="IZ1" i="9"/>
  <c r="IY1" i="9"/>
  <c r="IX1" i="9"/>
  <c r="IW1" i="9"/>
  <c r="IV1" i="9"/>
  <c r="IU1" i="9"/>
  <c r="IT1" i="9"/>
  <c r="IS1" i="9"/>
  <c r="IR1" i="9"/>
  <c r="IQ1" i="9"/>
  <c r="IP1" i="9"/>
  <c r="IO1" i="9"/>
  <c r="IN1" i="9"/>
  <c r="IM1" i="9"/>
  <c r="IL1" i="9"/>
  <c r="IK1" i="9"/>
  <c r="IJ1" i="9"/>
  <c r="II1" i="9"/>
  <c r="IH1" i="9"/>
  <c r="IG1" i="9"/>
  <c r="IF1" i="9"/>
  <c r="IE1" i="9"/>
  <c r="ID1" i="9"/>
  <c r="IC1" i="9"/>
  <c r="IB1" i="9"/>
  <c r="IA1" i="9"/>
  <c r="HZ1" i="9"/>
  <c r="HY1" i="9"/>
  <c r="HX1" i="9"/>
  <c r="HW1" i="9"/>
  <c r="HV1" i="9"/>
  <c r="HU1" i="9"/>
  <c r="HT1" i="9"/>
  <c r="HS1" i="9"/>
  <c r="HR1" i="9"/>
  <c r="HQ1" i="9"/>
  <c r="HP1" i="9"/>
  <c r="HO1" i="9"/>
  <c r="HN1" i="9"/>
  <c r="HM1" i="9"/>
  <c r="HL1" i="9"/>
  <c r="HK1" i="9"/>
  <c r="HJ1" i="9"/>
  <c r="HI1" i="9"/>
  <c r="HH1" i="9"/>
  <c r="HG1" i="9"/>
  <c r="HF1" i="9"/>
  <c r="HE1" i="9"/>
  <c r="HD1" i="9"/>
  <c r="HC1" i="9"/>
  <c r="HB1" i="9"/>
  <c r="HA1" i="9"/>
  <c r="GZ1" i="9"/>
  <c r="GY1" i="9"/>
  <c r="GX1" i="9"/>
  <c r="GW1" i="9"/>
  <c r="GV1" i="9"/>
  <c r="GU1" i="9"/>
  <c r="GT1" i="9"/>
  <c r="GS1" i="9"/>
  <c r="GR1" i="9"/>
  <c r="GQ1" i="9"/>
  <c r="GP1" i="9"/>
  <c r="GO1" i="9"/>
  <c r="GN1" i="9"/>
  <c r="GM1" i="9"/>
  <c r="GL1" i="9"/>
  <c r="GK1" i="9"/>
  <c r="GJ1" i="9"/>
  <c r="GI1" i="9"/>
  <c r="GH1" i="9"/>
  <c r="GG1" i="9"/>
  <c r="GF1" i="9"/>
  <c r="GE1" i="9"/>
  <c r="GD1" i="9"/>
  <c r="GC1" i="9"/>
  <c r="GB1" i="9"/>
  <c r="GA1" i="9"/>
  <c r="FZ1" i="9"/>
  <c r="FY1" i="9"/>
  <c r="FX1" i="9"/>
  <c r="FW1" i="9"/>
  <c r="FV1" i="9"/>
  <c r="FU1" i="9"/>
  <c r="FT1" i="9"/>
  <c r="FS1" i="9"/>
  <c r="FR1" i="9"/>
  <c r="FQ1" i="9"/>
  <c r="FP1" i="9"/>
  <c r="FO1" i="9"/>
  <c r="FN1" i="9"/>
  <c r="FM1" i="9"/>
  <c r="FL1" i="9"/>
  <c r="FK1" i="9"/>
  <c r="FJ1" i="9"/>
  <c r="FI1" i="9"/>
  <c r="FH1" i="9"/>
  <c r="FG1" i="9"/>
  <c r="FF1" i="9"/>
  <c r="FE1" i="9"/>
  <c r="FD1" i="9"/>
  <c r="FC1" i="9"/>
  <c r="FB1" i="9"/>
  <c r="FA1" i="9"/>
  <c r="EZ1" i="9"/>
  <c r="EY1" i="9"/>
  <c r="EX1" i="9"/>
  <c r="EW1" i="9"/>
  <c r="EV1" i="9"/>
  <c r="EU1" i="9"/>
  <c r="ET1" i="9"/>
  <c r="ES1" i="9"/>
  <c r="ER1" i="9"/>
  <c r="EQ1" i="9"/>
  <c r="EP1" i="9"/>
  <c r="EO1" i="9"/>
  <c r="EN1" i="9"/>
  <c r="EM1" i="9"/>
  <c r="EL1" i="9"/>
  <c r="EK1" i="9"/>
  <c r="EJ1" i="9"/>
  <c r="EI1" i="9"/>
  <c r="EH1" i="9"/>
  <c r="EG1" i="9"/>
  <c r="EF1" i="9"/>
  <c r="EE1" i="9"/>
  <c r="ED1" i="9"/>
  <c r="EC1" i="9"/>
  <c r="EB1" i="9"/>
  <c r="EA1" i="9"/>
  <c r="DZ1" i="9"/>
  <c r="DY1" i="9"/>
  <c r="DX1" i="9"/>
  <c r="DW1" i="9"/>
  <c r="DV1" i="9"/>
  <c r="DU1" i="9"/>
  <c r="DT1" i="9"/>
  <c r="DS1" i="9"/>
  <c r="DR1" i="9"/>
  <c r="DQ1" i="9"/>
  <c r="DP1" i="9"/>
  <c r="DO1" i="9"/>
  <c r="DN1" i="9"/>
  <c r="DM1" i="9"/>
  <c r="DL1" i="9"/>
  <c r="DK1" i="9"/>
  <c r="DJ1" i="9"/>
  <c r="DI1" i="9"/>
  <c r="DH1" i="9"/>
  <c r="DG1" i="9"/>
  <c r="DF1" i="9"/>
  <c r="DE1" i="9"/>
  <c r="DD1" i="9"/>
  <c r="DC1" i="9"/>
  <c r="DB1" i="9"/>
  <c r="DA1" i="9"/>
  <c r="CZ1" i="9"/>
  <c r="CY1" i="9"/>
  <c r="CX1" i="9"/>
  <c r="CW1" i="9"/>
  <c r="CV1" i="9"/>
  <c r="CU1" i="9"/>
  <c r="CT1" i="9"/>
  <c r="CS1" i="9"/>
  <c r="CR1" i="9"/>
  <c r="CQ1" i="9"/>
  <c r="CP1" i="9"/>
  <c r="CO1" i="9"/>
  <c r="CN1" i="9"/>
  <c r="CM1" i="9"/>
  <c r="CL1" i="9"/>
  <c r="CK1" i="9"/>
  <c r="CJ1" i="9"/>
  <c r="CI1" i="9"/>
  <c r="CH1" i="9"/>
  <c r="CG1" i="9"/>
  <c r="CF1" i="9"/>
  <c r="CE1" i="9"/>
  <c r="CD1" i="9"/>
  <c r="CC1" i="9"/>
  <c r="CB1" i="9"/>
  <c r="CA1" i="9"/>
  <c r="BZ1" i="9"/>
  <c r="BY1" i="9"/>
  <c r="BX1" i="9"/>
  <c r="BW1" i="9"/>
  <c r="BV1" i="9"/>
  <c r="BU1" i="9"/>
  <c r="BT1" i="9"/>
  <c r="BS1" i="9"/>
  <c r="BR1" i="9"/>
  <c r="BQ1" i="9"/>
  <c r="BP1" i="9"/>
  <c r="BO1" i="9"/>
  <c r="BN1" i="9"/>
  <c r="BM1" i="9"/>
  <c r="BL1" i="9"/>
  <c r="BK1" i="9"/>
  <c r="BJ1" i="9"/>
  <c r="BI1" i="9"/>
  <c r="BH1" i="9"/>
  <c r="BG1" i="9"/>
  <c r="BF1" i="9"/>
  <c r="BE1" i="9"/>
  <c r="BD1" i="9"/>
  <c r="BC1" i="9"/>
  <c r="BB1" i="9"/>
  <c r="BA1" i="9"/>
  <c r="AZ1" i="9"/>
  <c r="AY1" i="9"/>
  <c r="AX1" i="9"/>
  <c r="AW1" i="9"/>
  <c r="AV1" i="9"/>
  <c r="AU1" i="9"/>
  <c r="AT1" i="9"/>
  <c r="AS1" i="9"/>
  <c r="AR1" i="9"/>
  <c r="AQ1" i="9"/>
  <c r="AP1" i="9"/>
  <c r="AO1" i="9"/>
  <c r="AN1" i="9"/>
  <c r="AM1" i="9"/>
  <c r="AL1" i="9"/>
  <c r="AK1" i="9"/>
  <c r="AJ1" i="9"/>
  <c r="AI1" i="9"/>
  <c r="AH1" i="9"/>
  <c r="AG1" i="9"/>
  <c r="AF1" i="9"/>
  <c r="AE1" i="9"/>
  <c r="AD1" i="9"/>
  <c r="AC1" i="9"/>
  <c r="AB1" i="9"/>
  <c r="AA1" i="9"/>
  <c r="Z1" i="9"/>
  <c r="Y1" i="9"/>
  <c r="X1" i="9"/>
  <c r="W1" i="9"/>
  <c r="V1" i="9"/>
  <c r="U1" i="9"/>
  <c r="T1" i="9"/>
  <c r="S1" i="9"/>
  <c r="R1" i="9"/>
  <c r="Q1" i="9"/>
  <c r="P1" i="9"/>
  <c r="O1" i="9"/>
  <c r="N1" i="9"/>
  <c r="M1" i="9"/>
  <c r="L1" i="9"/>
  <c r="K1" i="9"/>
  <c r="J1"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 i="9"/>
  <c r="KJ1" i="2"/>
  <c r="KI1" i="2"/>
  <c r="KH1" i="2"/>
  <c r="KG1" i="2"/>
  <c r="KF1" i="2"/>
  <c r="KE1" i="2"/>
  <c r="KD1" i="2"/>
  <c r="KC1" i="2"/>
  <c r="KB1" i="2"/>
  <c r="KA1" i="2"/>
  <c r="JZ1" i="2"/>
  <c r="JY1" i="2"/>
  <c r="JX1" i="2"/>
  <c r="JW1" i="2"/>
  <c r="JV1" i="2"/>
  <c r="JU1" i="2"/>
  <c r="JT1" i="2"/>
  <c r="JS1" i="2"/>
  <c r="JR1" i="2"/>
  <c r="JQ1" i="2"/>
  <c r="JP1" i="2"/>
  <c r="JO1" i="2"/>
  <c r="JN1" i="2"/>
  <c r="JM1" i="2"/>
  <c r="JL1" i="2"/>
  <c r="JK1" i="2"/>
  <c r="JJ1" i="2"/>
  <c r="JI1" i="2"/>
  <c r="JH1" i="2"/>
  <c r="JG1" i="2"/>
  <c r="JF1" i="2"/>
  <c r="JE1" i="2"/>
  <c r="JD1" i="2"/>
  <c r="JC1" i="2"/>
  <c r="JB1" i="2"/>
  <c r="JA1" i="2"/>
  <c r="IZ1" i="2"/>
  <c r="IY1" i="2"/>
  <c r="IX1" i="2"/>
  <c r="IW1" i="2"/>
  <c r="IV1" i="2"/>
  <c r="IU1" i="2"/>
  <c r="IT1" i="2"/>
  <c r="IS1" i="2"/>
  <c r="IR1" i="2"/>
  <c r="IQ1" i="2"/>
  <c r="IP1" i="2"/>
  <c r="IO1" i="2"/>
  <c r="IN1" i="2"/>
  <c r="IM1" i="2"/>
  <c r="IL1" i="2"/>
  <c r="IK1" i="2"/>
  <c r="IJ1" i="2"/>
  <c r="II1" i="2"/>
  <c r="IH1" i="2"/>
  <c r="IG1" i="2"/>
  <c r="IF1" i="2"/>
  <c r="IE1" i="2"/>
  <c r="ID1" i="2"/>
  <c r="IC1" i="2"/>
  <c r="IB1" i="2"/>
  <c r="IA1" i="2"/>
  <c r="HZ1" i="2"/>
  <c r="HY1" i="2"/>
  <c r="HX1" i="2"/>
  <c r="HW1" i="2"/>
  <c r="HV1" i="2"/>
  <c r="HU1" i="2"/>
  <c r="HT1" i="2"/>
  <c r="HS1" i="2"/>
  <c r="HR1" i="2"/>
  <c r="HQ1" i="2"/>
  <c r="HP1" i="2"/>
  <c r="HO1" i="2"/>
  <c r="HN1" i="2"/>
  <c r="HM1" i="2"/>
  <c r="HL1" i="2"/>
  <c r="HK1" i="2"/>
  <c r="HJ1" i="2"/>
  <c r="HI1" i="2"/>
  <c r="HH1" i="2"/>
  <c r="HG1" i="2"/>
  <c r="HF1" i="2"/>
  <c r="HE1" i="2"/>
  <c r="HD1" i="2"/>
  <c r="HC1" i="2"/>
  <c r="HB1" i="2"/>
  <c r="HA1" i="2"/>
  <c r="GZ1" i="2"/>
  <c r="GY1" i="2"/>
  <c r="GX1" i="2"/>
  <c r="GW1" i="2"/>
  <c r="GV1" i="2"/>
  <c r="GU1" i="2"/>
  <c r="GT1" i="2"/>
  <c r="GS1" i="2"/>
  <c r="GR1" i="2"/>
  <c r="GQ1" i="2"/>
  <c r="GP1" i="2"/>
  <c r="GO1" i="2"/>
  <c r="GN1" i="2"/>
  <c r="GM1" i="2"/>
  <c r="GL1" i="2"/>
  <c r="GK1" i="2"/>
  <c r="GJ1" i="2"/>
  <c r="GI1" i="2"/>
  <c r="GH1" i="2"/>
  <c r="GG1" i="2"/>
  <c r="GF1" i="2"/>
  <c r="GE1" i="2"/>
  <c r="GD1" i="2"/>
  <c r="GC1" i="2"/>
  <c r="GB1" i="2"/>
  <c r="GA1" i="2"/>
  <c r="FZ1" i="2"/>
  <c r="FY1" i="2"/>
  <c r="FX1" i="2"/>
  <c r="FW1" i="2"/>
  <c r="FV1" i="2"/>
  <c r="FU1" i="2"/>
  <c r="FT1" i="2"/>
  <c r="FS1" i="2"/>
  <c r="FR1" i="2"/>
  <c r="FQ1" i="2"/>
  <c r="FP1" i="2"/>
  <c r="FO1" i="2"/>
  <c r="FN1" i="2"/>
  <c r="FM1" i="2"/>
  <c r="FL1" i="2"/>
  <c r="FK1" i="2"/>
  <c r="FJ1" i="2"/>
  <c r="FI1" i="2"/>
  <c r="FH1" i="2"/>
  <c r="FG1" i="2"/>
  <c r="FF1" i="2"/>
  <c r="FE1" i="2"/>
  <c r="FD1" i="2"/>
  <c r="FC1" i="2"/>
  <c r="FB1" i="2"/>
  <c r="FA1" i="2"/>
  <c r="EZ1" i="2"/>
  <c r="EY1" i="2"/>
  <c r="EX1" i="2"/>
  <c r="EW1" i="2"/>
  <c r="EV1" i="2"/>
  <c r="EU1" i="2"/>
  <c r="ET1" i="2"/>
  <c r="ES1" i="2"/>
  <c r="ER1" i="2"/>
  <c r="EQ1" i="2"/>
  <c r="EP1" i="2"/>
  <c r="EO1" i="2"/>
  <c r="EN1" i="2"/>
  <c r="EM1" i="2"/>
  <c r="EL1" i="2"/>
  <c r="EK1" i="2"/>
  <c r="EJ1" i="2"/>
  <c r="EI1" i="2"/>
  <c r="EH1" i="2"/>
  <c r="EG1" i="2"/>
  <c r="EF1" i="2"/>
  <c r="EE1" i="2"/>
  <c r="ED1" i="2"/>
  <c r="EC1" i="2"/>
  <c r="EB1" i="2"/>
  <c r="EA1" i="2"/>
  <c r="DZ1" i="2"/>
  <c r="DY1" i="2"/>
  <c r="DX1" i="2"/>
  <c r="DW1" i="2"/>
  <c r="DV1" i="2"/>
  <c r="DU1" i="2"/>
  <c r="DT1" i="2"/>
  <c r="DS1" i="2"/>
  <c r="DR1" i="2"/>
  <c r="DQ1" i="2"/>
  <c r="DP1" i="2"/>
  <c r="DO1" i="2"/>
  <c r="DN1" i="2"/>
  <c r="DM1" i="2"/>
  <c r="DL1" i="2"/>
  <c r="DK1" i="2"/>
  <c r="DJ1" i="2"/>
  <c r="DI1" i="2"/>
  <c r="DH1" i="2"/>
  <c r="DG1" i="2"/>
  <c r="DF1" i="2"/>
  <c r="DE1" i="2"/>
  <c r="DD1" i="2"/>
  <c r="DC1" i="2"/>
  <c r="DB1" i="2"/>
  <c r="DA1" i="2"/>
  <c r="CZ1" i="2"/>
  <c r="CY1" i="2"/>
  <c r="CX1" i="2"/>
  <c r="CW1" i="2"/>
  <c r="CV1" i="2"/>
  <c r="CU1" i="2"/>
  <c r="CT1" i="2"/>
  <c r="CS1" i="2"/>
  <c r="CR1" i="2"/>
  <c r="CQ1" i="2"/>
  <c r="CP1" i="2"/>
  <c r="CO1" i="2"/>
  <c r="CN1" i="2"/>
  <c r="CM1" i="2"/>
  <c r="CL1" i="2"/>
  <c r="CK1" i="2"/>
  <c r="CJ1" i="2"/>
  <c r="CI1" i="2"/>
  <c r="CH1" i="2"/>
  <c r="CG1" i="2"/>
  <c r="CF1" i="2"/>
  <c r="CE1" i="2"/>
  <c r="CD1" i="2"/>
  <c r="CC1" i="2"/>
  <c r="CB1" i="2"/>
  <c r="CA1" i="2"/>
  <c r="BZ1" i="2"/>
  <c r="BY1" i="2"/>
  <c r="BX1" i="2"/>
  <c r="BW1" i="2"/>
  <c r="BV1" i="2"/>
  <c r="BU1" i="2"/>
  <c r="BT1" i="2"/>
  <c r="BS1" i="2"/>
  <c r="BR1" i="2"/>
  <c r="BQ1" i="2"/>
  <c r="BP1" i="2"/>
  <c r="BO1" i="2"/>
  <c r="BN1" i="2"/>
  <c r="BM1" i="2"/>
  <c r="BL1" i="2"/>
  <c r="BK1" i="2"/>
  <c r="BJ1" i="2"/>
  <c r="BI1" i="2"/>
  <c r="BH1" i="2"/>
  <c r="BG1" i="2"/>
  <c r="BF1" i="2"/>
  <c r="BE1" i="2"/>
  <c r="BD1" i="2"/>
  <c r="BC1" i="2"/>
  <c r="BB1" i="2"/>
  <c r="BA1" i="2"/>
  <c r="AZ1" i="2"/>
  <c r="AY1" i="2"/>
  <c r="AX1" i="2"/>
  <c r="AW1" i="2"/>
  <c r="AV1" i="2"/>
  <c r="AU1" i="2"/>
  <c r="AT1" i="2"/>
  <c r="AS1" i="2"/>
  <c r="AR1" i="2"/>
  <c r="AQ1" i="2"/>
  <c r="AP1" i="2"/>
  <c r="AO1" i="2"/>
  <c r="AN1" i="2"/>
  <c r="AM1" i="2"/>
  <c r="AL1" i="2"/>
  <c r="AK1" i="2"/>
  <c r="AJ1" i="2"/>
  <c r="AI1" i="2"/>
  <c r="AH1" i="2"/>
  <c r="AG1" i="2"/>
  <c r="AF1" i="2"/>
  <c r="AE1" i="2"/>
  <c r="AD1" i="2"/>
  <c r="AC1" i="2"/>
  <c r="AB1" i="2"/>
  <c r="AA1" i="2"/>
  <c r="Z1" i="2"/>
  <c r="Y1" i="2"/>
  <c r="X1" i="2"/>
  <c r="W1" i="2"/>
  <c r="V1" i="2"/>
  <c r="U1" i="2"/>
  <c r="T1" i="2"/>
  <c r="S1" i="2"/>
  <c r="R1" i="2"/>
  <c r="Q1" i="2"/>
  <c r="P1" i="2"/>
  <c r="O1" i="2"/>
  <c r="N1" i="2"/>
  <c r="M1" i="2"/>
  <c r="L1" i="2"/>
  <c r="K1" i="2"/>
  <c r="J1" i="2"/>
  <c r="I1" i="2"/>
  <c r="H1" i="2"/>
  <c r="G1" i="2"/>
  <c r="F1" i="2"/>
  <c r="E1" i="2"/>
  <c r="D1" i="2"/>
  <c r="C1" i="2"/>
  <c r="B1"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KJ1" i="6"/>
  <c r="KI1" i="6"/>
  <c r="KH1" i="6"/>
  <c r="KG1" i="6"/>
  <c r="KF1" i="6"/>
  <c r="KE1" i="6"/>
  <c r="KD1" i="6"/>
  <c r="KC1" i="6"/>
  <c r="KB1" i="6"/>
  <c r="KA1" i="6"/>
  <c r="JZ1" i="6"/>
  <c r="JY1" i="6"/>
  <c r="JX1" i="6"/>
  <c r="JW1" i="6"/>
  <c r="JV1" i="6"/>
  <c r="JU1" i="6"/>
  <c r="JT1" i="6"/>
  <c r="JS1" i="6"/>
  <c r="JR1" i="6"/>
  <c r="JQ1" i="6"/>
  <c r="JP1" i="6"/>
  <c r="JO1" i="6"/>
  <c r="JN1" i="6"/>
  <c r="JM1" i="6"/>
  <c r="JL1" i="6"/>
  <c r="JK1" i="6"/>
  <c r="JJ1" i="6"/>
  <c r="JI1" i="6"/>
  <c r="JH1" i="6"/>
  <c r="JG1" i="6"/>
  <c r="JF1" i="6"/>
  <c r="JE1" i="6"/>
  <c r="JD1" i="6"/>
  <c r="JC1" i="6"/>
  <c r="JB1" i="6"/>
  <c r="JA1" i="6"/>
  <c r="IZ1" i="6"/>
  <c r="IY1" i="6"/>
  <c r="IX1" i="6"/>
  <c r="IW1" i="6"/>
  <c r="IV1" i="6"/>
  <c r="IU1" i="6"/>
  <c r="IT1" i="6"/>
  <c r="IS1" i="6"/>
  <c r="IR1" i="6"/>
  <c r="IQ1" i="6"/>
  <c r="IP1" i="6"/>
  <c r="IO1" i="6"/>
  <c r="IN1" i="6"/>
  <c r="IM1" i="6"/>
  <c r="IL1" i="6"/>
  <c r="IK1" i="6"/>
  <c r="IJ1" i="6"/>
  <c r="II1" i="6"/>
  <c r="IH1" i="6"/>
  <c r="IG1" i="6"/>
  <c r="IF1" i="6"/>
  <c r="IE1" i="6"/>
  <c r="ID1" i="6"/>
  <c r="IC1" i="6"/>
  <c r="IB1" i="6"/>
  <c r="IA1" i="6"/>
  <c r="HZ1" i="6"/>
  <c r="HY1" i="6"/>
  <c r="HX1" i="6"/>
  <c r="HW1" i="6"/>
  <c r="HV1" i="6"/>
  <c r="HU1" i="6"/>
  <c r="HT1" i="6"/>
  <c r="HS1" i="6"/>
  <c r="HR1" i="6"/>
  <c r="HQ1" i="6"/>
  <c r="HP1" i="6"/>
  <c r="HO1" i="6"/>
  <c r="HN1" i="6"/>
  <c r="HM1" i="6"/>
  <c r="HL1" i="6"/>
  <c r="HK1" i="6"/>
  <c r="HJ1" i="6"/>
  <c r="HI1" i="6"/>
  <c r="HH1" i="6"/>
  <c r="HG1" i="6"/>
  <c r="HF1" i="6"/>
  <c r="HE1" i="6"/>
  <c r="HD1" i="6"/>
  <c r="HC1" i="6"/>
  <c r="HB1" i="6"/>
  <c r="HA1" i="6"/>
  <c r="GZ1" i="6"/>
  <c r="GY1" i="6"/>
  <c r="GX1" i="6"/>
  <c r="GW1" i="6"/>
  <c r="GV1" i="6"/>
  <c r="GU1" i="6"/>
  <c r="GT1" i="6"/>
  <c r="GS1" i="6"/>
  <c r="GR1" i="6"/>
  <c r="GQ1" i="6"/>
  <c r="GP1" i="6"/>
  <c r="GO1" i="6"/>
  <c r="GN1" i="6"/>
  <c r="GM1" i="6"/>
  <c r="GL1" i="6"/>
  <c r="GK1" i="6"/>
  <c r="GJ1" i="6"/>
  <c r="GI1" i="6"/>
  <c r="GH1" i="6"/>
  <c r="GG1" i="6"/>
  <c r="GF1" i="6"/>
  <c r="GE1" i="6"/>
  <c r="GD1" i="6"/>
  <c r="GC1" i="6"/>
  <c r="GB1" i="6"/>
  <c r="GA1" i="6"/>
  <c r="FZ1" i="6"/>
  <c r="FY1" i="6"/>
  <c r="FX1" i="6"/>
  <c r="FW1" i="6"/>
  <c r="FV1" i="6"/>
  <c r="FU1" i="6"/>
  <c r="FT1" i="6"/>
  <c r="FS1" i="6"/>
  <c r="FR1" i="6"/>
  <c r="FQ1" i="6"/>
  <c r="FP1" i="6"/>
  <c r="FO1" i="6"/>
  <c r="FN1" i="6"/>
  <c r="FM1" i="6"/>
  <c r="FL1" i="6"/>
  <c r="FK1" i="6"/>
  <c r="FJ1" i="6"/>
  <c r="FI1" i="6"/>
  <c r="FH1" i="6"/>
  <c r="FG1" i="6"/>
  <c r="FF1" i="6"/>
  <c r="FE1" i="6"/>
  <c r="FD1" i="6"/>
  <c r="FC1" i="6"/>
  <c r="FB1" i="6"/>
  <c r="FA1" i="6"/>
  <c r="EZ1" i="6"/>
  <c r="EY1" i="6"/>
  <c r="EX1" i="6"/>
  <c r="EW1" i="6"/>
  <c r="EV1" i="6"/>
  <c r="EU1" i="6"/>
  <c r="ET1" i="6"/>
  <c r="ES1" i="6"/>
  <c r="ER1" i="6"/>
  <c r="EQ1" i="6"/>
  <c r="EP1" i="6"/>
  <c r="EO1" i="6"/>
  <c r="EN1" i="6"/>
  <c r="EM1" i="6"/>
  <c r="EL1" i="6"/>
  <c r="EK1" i="6"/>
  <c r="EJ1" i="6"/>
  <c r="EI1" i="6"/>
  <c r="EH1" i="6"/>
  <c r="EG1" i="6"/>
  <c r="EF1" i="6"/>
  <c r="EE1" i="6"/>
  <c r="ED1" i="6"/>
  <c r="EC1" i="6"/>
  <c r="EB1" i="6"/>
  <c r="EA1" i="6"/>
  <c r="DZ1" i="6"/>
  <c r="DY1" i="6"/>
  <c r="DX1" i="6"/>
  <c r="DW1" i="6"/>
  <c r="DV1" i="6"/>
  <c r="DU1" i="6"/>
  <c r="DT1" i="6"/>
  <c r="DS1" i="6"/>
  <c r="DR1" i="6"/>
  <c r="DQ1" i="6"/>
  <c r="DP1" i="6"/>
  <c r="DO1" i="6"/>
  <c r="DN1" i="6"/>
  <c r="DM1" i="6"/>
  <c r="DL1" i="6"/>
  <c r="DK1" i="6"/>
  <c r="DJ1" i="6"/>
  <c r="DI1" i="6"/>
  <c r="DH1" i="6"/>
  <c r="DG1" i="6"/>
  <c r="DF1" i="6"/>
  <c r="DE1" i="6"/>
  <c r="DD1" i="6"/>
  <c r="DC1" i="6"/>
  <c r="DB1" i="6"/>
  <c r="DA1" i="6"/>
  <c r="CZ1" i="6"/>
  <c r="CY1" i="6"/>
  <c r="CX1" i="6"/>
  <c r="CW1" i="6"/>
  <c r="CV1" i="6"/>
  <c r="CU1" i="6"/>
  <c r="CT1" i="6"/>
  <c r="CS1" i="6"/>
  <c r="CR1" i="6"/>
  <c r="CQ1" i="6"/>
  <c r="CP1" i="6"/>
  <c r="CO1" i="6"/>
  <c r="CN1" i="6"/>
  <c r="CM1" i="6"/>
  <c r="CL1" i="6"/>
  <c r="CK1" i="6"/>
  <c r="CJ1" i="6"/>
  <c r="CI1" i="6"/>
  <c r="CH1" i="6"/>
  <c r="CG1" i="6"/>
  <c r="CF1" i="6"/>
  <c r="CE1" i="6"/>
  <c r="CD1" i="6"/>
  <c r="CC1" i="6"/>
  <c r="CB1" i="6"/>
  <c r="CA1" i="6"/>
  <c r="BZ1" i="6"/>
  <c r="BY1" i="6"/>
  <c r="BX1" i="6"/>
  <c r="BW1" i="6"/>
  <c r="BV1" i="6"/>
  <c r="BU1" i="6"/>
  <c r="BT1" i="6"/>
  <c r="BS1" i="6"/>
  <c r="BR1" i="6"/>
  <c r="BQ1" i="6"/>
  <c r="BP1" i="6"/>
  <c r="BO1" i="6"/>
  <c r="BN1" i="6"/>
  <c r="BM1" i="6"/>
  <c r="BL1" i="6"/>
  <c r="BK1" i="6"/>
  <c r="BJ1" i="6"/>
  <c r="BI1" i="6"/>
  <c r="BH1" i="6"/>
  <c r="BG1" i="6"/>
  <c r="BF1" i="6"/>
  <c r="BE1" i="6"/>
  <c r="BD1" i="6"/>
  <c r="BC1" i="6"/>
  <c r="BB1" i="6"/>
  <c r="BA1" i="6"/>
  <c r="AZ1" i="6"/>
  <c r="AY1" i="6"/>
  <c r="AX1" i="6"/>
  <c r="AW1" i="6"/>
  <c r="AV1" i="6"/>
  <c r="AU1" i="6"/>
  <c r="AT1" i="6"/>
  <c r="AS1" i="6"/>
  <c r="AR1" i="6"/>
  <c r="AQ1" i="6"/>
  <c r="AP1" i="6"/>
  <c r="AO1" i="6"/>
  <c r="AN1" i="6"/>
  <c r="AM1" i="6"/>
  <c r="AL1" i="6"/>
  <c r="AK1" i="6"/>
  <c r="AJ1" i="6"/>
  <c r="AI1" i="6"/>
  <c r="AH1" i="6"/>
  <c r="AG1" i="6"/>
  <c r="AF1" i="6"/>
  <c r="AE1" i="6"/>
  <c r="AD1" i="6"/>
  <c r="AC1" i="6"/>
  <c r="AB1" i="6"/>
  <c r="AA1" i="6"/>
  <c r="Z1" i="6"/>
  <c r="Y1" i="6"/>
  <c r="X1" i="6"/>
  <c r="W1" i="6"/>
  <c r="V1" i="6"/>
  <c r="U1" i="6"/>
  <c r="T1" i="6"/>
  <c r="S1" i="6"/>
  <c r="R1" i="6"/>
  <c r="Q1" i="6"/>
  <c r="P1" i="6"/>
  <c r="O1" i="6"/>
  <c r="N1" i="6"/>
  <c r="M1" i="6"/>
  <c r="L1" i="6"/>
  <c r="K1" i="6"/>
  <c r="J1" i="6"/>
  <c r="I1" i="6"/>
  <c r="H1" i="6"/>
  <c r="G1" i="6"/>
  <c r="F1" i="6"/>
  <c r="E1" i="6"/>
  <c r="D1" i="6"/>
  <c r="C1" i="6"/>
  <c r="B1"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KB1" i="3"/>
  <c r="KA1" i="3"/>
  <c r="JZ1" i="3"/>
  <c r="JY1" i="3"/>
  <c r="JX1" i="3"/>
  <c r="JW1" i="3"/>
  <c r="JV1" i="3"/>
  <c r="JU1" i="3"/>
  <c r="JT1" i="3"/>
  <c r="JS1" i="3"/>
  <c r="JR1" i="3"/>
  <c r="JQ1" i="3"/>
  <c r="JP1" i="3"/>
  <c r="JO1" i="3"/>
  <c r="JN1" i="3"/>
  <c r="JM1" i="3"/>
  <c r="JL1" i="3"/>
  <c r="JK1" i="3"/>
  <c r="JJ1" i="3"/>
  <c r="JI1" i="3"/>
  <c r="JH1" i="3"/>
  <c r="JG1" i="3"/>
  <c r="JF1" i="3"/>
  <c r="JE1" i="3"/>
  <c r="JD1" i="3"/>
  <c r="JC1" i="3"/>
  <c r="JB1" i="3"/>
  <c r="JA1" i="3"/>
  <c r="IZ1" i="3"/>
  <c r="IY1" i="3"/>
  <c r="IX1" i="3"/>
  <c r="IW1" i="3"/>
  <c r="IV1" i="3"/>
  <c r="IU1" i="3"/>
  <c r="IT1" i="3"/>
  <c r="IS1" i="3"/>
  <c r="IR1" i="3"/>
  <c r="IQ1" i="3"/>
  <c r="IP1" i="3"/>
  <c r="IO1" i="3"/>
  <c r="IN1" i="3"/>
  <c r="IM1" i="3"/>
  <c r="IL1" i="3"/>
  <c r="IK1" i="3"/>
  <c r="IJ1" i="3"/>
  <c r="II1" i="3"/>
  <c r="IH1" i="3"/>
  <c r="IG1" i="3"/>
  <c r="IF1" i="3"/>
  <c r="IE1" i="3"/>
  <c r="ID1" i="3"/>
  <c r="IC1" i="3"/>
  <c r="IB1" i="3"/>
  <c r="IA1" i="3"/>
  <c r="HZ1" i="3"/>
  <c r="HY1" i="3"/>
  <c r="HX1" i="3"/>
  <c r="HW1" i="3"/>
  <c r="HV1" i="3"/>
  <c r="HU1" i="3"/>
  <c r="HT1" i="3"/>
  <c r="HS1" i="3"/>
  <c r="HR1" i="3"/>
  <c r="HQ1" i="3"/>
  <c r="HP1" i="3"/>
  <c r="HO1" i="3"/>
  <c r="HN1" i="3"/>
  <c r="HM1" i="3"/>
  <c r="HL1" i="3"/>
  <c r="HK1" i="3"/>
  <c r="HJ1" i="3"/>
  <c r="HI1" i="3"/>
  <c r="HH1" i="3"/>
  <c r="HG1" i="3"/>
  <c r="HF1" i="3"/>
  <c r="HE1" i="3"/>
  <c r="HD1" i="3"/>
  <c r="HC1" i="3"/>
  <c r="HB1" i="3"/>
  <c r="HA1" i="3"/>
  <c r="GZ1" i="3"/>
  <c r="GY1" i="3"/>
  <c r="GX1" i="3"/>
  <c r="GW1" i="3"/>
  <c r="GV1" i="3"/>
  <c r="GU1" i="3"/>
  <c r="GT1" i="3"/>
  <c r="GS1" i="3"/>
  <c r="GR1" i="3"/>
  <c r="GQ1" i="3"/>
  <c r="GP1" i="3"/>
  <c r="GO1" i="3"/>
  <c r="GN1" i="3"/>
  <c r="GM1" i="3"/>
  <c r="GL1" i="3"/>
  <c r="GK1" i="3"/>
  <c r="GJ1" i="3"/>
  <c r="GI1" i="3"/>
  <c r="GH1" i="3"/>
  <c r="GG1" i="3"/>
  <c r="GF1" i="3"/>
  <c r="GE1" i="3"/>
  <c r="GD1" i="3"/>
  <c r="GC1" i="3"/>
  <c r="GB1" i="3"/>
  <c r="GA1" i="3"/>
  <c r="FZ1" i="3"/>
  <c r="FY1" i="3"/>
  <c r="FX1" i="3"/>
  <c r="FW1" i="3"/>
  <c r="FV1" i="3"/>
  <c r="FU1" i="3"/>
  <c r="FT1" i="3"/>
  <c r="FS1" i="3"/>
  <c r="FR1" i="3"/>
  <c r="FQ1" i="3"/>
  <c r="FP1" i="3"/>
  <c r="FO1" i="3"/>
  <c r="FN1" i="3"/>
  <c r="FM1" i="3"/>
  <c r="FL1" i="3"/>
  <c r="FK1" i="3"/>
  <c r="FJ1" i="3"/>
  <c r="FI1" i="3"/>
  <c r="FH1" i="3"/>
  <c r="FG1" i="3"/>
  <c r="FF1" i="3"/>
  <c r="FE1" i="3"/>
  <c r="FD1" i="3"/>
  <c r="FC1" i="3"/>
  <c r="FB1" i="3"/>
  <c r="FA1" i="3"/>
  <c r="EZ1" i="3"/>
  <c r="EY1" i="3"/>
  <c r="EX1" i="3"/>
  <c r="EW1" i="3"/>
  <c r="EV1" i="3"/>
  <c r="EU1" i="3"/>
  <c r="ET1" i="3"/>
  <c r="ES1" i="3"/>
  <c r="ER1" i="3"/>
  <c r="EQ1" i="3"/>
  <c r="EP1" i="3"/>
  <c r="EO1" i="3"/>
  <c r="EN1" i="3"/>
  <c r="EM1" i="3"/>
  <c r="EL1" i="3"/>
  <c r="EK1" i="3"/>
  <c r="EJ1" i="3"/>
  <c r="EI1" i="3"/>
  <c r="EH1" i="3"/>
  <c r="EG1" i="3"/>
  <c r="EF1" i="3"/>
  <c r="EE1" i="3"/>
  <c r="ED1" i="3"/>
  <c r="EC1" i="3"/>
  <c r="EB1" i="3"/>
  <c r="EA1" i="3"/>
  <c r="DZ1" i="3"/>
  <c r="DY1" i="3"/>
  <c r="DX1" i="3"/>
  <c r="DW1" i="3"/>
  <c r="DV1" i="3"/>
  <c r="DU1" i="3"/>
  <c r="DT1" i="3"/>
  <c r="DS1" i="3"/>
  <c r="DR1" i="3"/>
  <c r="DQ1" i="3"/>
  <c r="DP1" i="3"/>
  <c r="DO1" i="3"/>
  <c r="DN1" i="3"/>
  <c r="DM1" i="3"/>
  <c r="DL1" i="3"/>
  <c r="DK1" i="3"/>
  <c r="DJ1" i="3"/>
  <c r="DI1" i="3"/>
  <c r="DH1" i="3"/>
  <c r="DG1" i="3"/>
  <c r="DF1" i="3"/>
  <c r="DE1" i="3"/>
  <c r="DD1" i="3"/>
  <c r="DC1" i="3"/>
  <c r="DB1" i="3"/>
  <c r="DA1" i="3"/>
  <c r="CZ1" i="3"/>
  <c r="CY1" i="3"/>
  <c r="CX1" i="3"/>
  <c r="CW1" i="3"/>
  <c r="CV1" i="3"/>
  <c r="CU1" i="3"/>
  <c r="CT1" i="3"/>
  <c r="CS1" i="3"/>
  <c r="CR1" i="3"/>
  <c r="CQ1" i="3"/>
  <c r="CP1" i="3"/>
  <c r="CO1" i="3"/>
  <c r="CN1" i="3"/>
  <c r="CM1" i="3"/>
  <c r="CL1" i="3"/>
  <c r="CK1" i="3"/>
  <c r="CJ1" i="3"/>
  <c r="CI1" i="3"/>
  <c r="CH1" i="3"/>
  <c r="CG1" i="3"/>
  <c r="CF1" i="3"/>
  <c r="CE1" i="3"/>
  <c r="CD1" i="3"/>
  <c r="CC1" i="3"/>
  <c r="CB1" i="3"/>
  <c r="CA1" i="3"/>
  <c r="BZ1" i="3"/>
  <c r="BY1" i="3"/>
  <c r="BX1" i="3"/>
  <c r="BW1" i="3"/>
  <c r="BV1" i="3"/>
  <c r="BU1" i="3"/>
  <c r="BT1" i="3"/>
  <c r="BS1" i="3"/>
  <c r="BR1" i="3"/>
  <c r="BQ1" i="3"/>
  <c r="BP1" i="3"/>
  <c r="BO1" i="3"/>
  <c r="BN1" i="3"/>
  <c r="BM1" i="3"/>
  <c r="BL1" i="3"/>
  <c r="BK1" i="3"/>
  <c r="BJ1" i="3"/>
  <c r="BI1" i="3"/>
  <c r="BH1" i="3"/>
  <c r="BG1" i="3"/>
  <c r="BF1" i="3"/>
  <c r="BE1" i="3"/>
  <c r="BD1" i="3"/>
  <c r="BC1" i="3"/>
  <c r="BB1" i="3"/>
  <c r="BA1" i="3"/>
  <c r="AZ1" i="3"/>
  <c r="AY1" i="3"/>
  <c r="AX1" i="3"/>
  <c r="AW1" i="3"/>
  <c r="AV1" i="3"/>
  <c r="AU1" i="3"/>
  <c r="AT1" i="3"/>
  <c r="AS1" i="3"/>
  <c r="AR1" i="3"/>
  <c r="AQ1" i="3"/>
  <c r="AP1" i="3"/>
  <c r="AO1" i="3"/>
  <c r="AN1" i="3"/>
  <c r="AM1" i="3"/>
  <c r="AL1" i="3"/>
  <c r="AK1" i="3"/>
  <c r="AJ1" i="3"/>
  <c r="AI1" i="3"/>
  <c r="AH1" i="3"/>
  <c r="AG1" i="3"/>
  <c r="AF1" i="3"/>
  <c r="AE1" i="3"/>
  <c r="AD1" i="3"/>
  <c r="AC1" i="3"/>
  <c r="AB1" i="3"/>
  <c r="AA1" i="3"/>
  <c r="Z1" i="3"/>
  <c r="Y1" i="3"/>
  <c r="X1" i="3"/>
  <c r="W1" i="3"/>
  <c r="V1" i="3"/>
  <c r="U1" i="3"/>
  <c r="T1" i="3"/>
  <c r="S1" i="3"/>
  <c r="R1" i="3"/>
  <c r="Q1" i="3"/>
  <c r="P1" i="3"/>
  <c r="O1" i="3"/>
  <c r="N1" i="3"/>
  <c r="M1" i="3"/>
  <c r="L1" i="3"/>
  <c r="K1" i="3"/>
  <c r="B1"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A2"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3" i="3"/>
  <c r="A4" i="3"/>
  <c r="A5" i="3"/>
  <c r="A6" i="3"/>
  <c r="A7" i="3"/>
  <c r="A8" i="3"/>
  <c r="A9" i="3"/>
  <c r="A10" i="3"/>
  <c r="A11" i="3"/>
  <c r="A12" i="3"/>
  <c r="A13" i="3"/>
  <c r="A14" i="3"/>
  <c r="A15" i="3"/>
  <c r="A16" i="3"/>
  <c r="A17" i="3"/>
  <c r="A18" i="3"/>
  <c r="A19" i="3"/>
  <c r="A20" i="3"/>
  <c r="A21" i="3"/>
  <c r="A22" i="3"/>
  <c r="A23" i="3"/>
  <c r="A24" i="3"/>
  <c r="A25" i="3"/>
  <c r="A26" i="3"/>
  <c r="A27" i="3"/>
  <c r="A28" i="3"/>
  <c r="A29" i="3"/>
  <c r="A3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Farah Houdroge</author>
  </authors>
  <commentList>
    <comment ref="A1" authorId="0" shapeId="0" xr:uid="{F8AA601A-1E57-43AD-B4F8-07F0CE0AB12C}">
      <text>
        <r>
          <rPr>
            <b/>
            <sz val="9"/>
            <color indexed="81"/>
            <rFont val="Tahoma"/>
            <family val="2"/>
          </rPr>
          <t>Farah Houdroge:</t>
        </r>
        <r>
          <rPr>
            <sz val="9"/>
            <color indexed="81"/>
            <rFont val="Tahoma"/>
            <family val="2"/>
          </rPr>
          <t xml:space="preserve">
The first row and column will get updated automatically from the sheets "study sites" and "emission sources".
Fill the table with the emission data from the AKDN tool for each facility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Farah Houdroge</author>
  </authors>
  <commentList>
    <comment ref="A1" authorId="0" shapeId="0" xr:uid="{51C1E037-DC24-49E2-B8B5-8EE18E8E3F6F}">
      <text>
        <r>
          <rPr>
            <b/>
            <sz val="9"/>
            <color indexed="81"/>
            <rFont val="Tahoma"/>
            <family val="2"/>
          </rPr>
          <t>Farah Houdroge:</t>
        </r>
        <r>
          <rPr>
            <sz val="9"/>
            <color indexed="81"/>
            <rFont val="Tahoma"/>
            <family val="2"/>
          </rPr>
          <t xml:space="preserve">
Place a 'y' in the cells to designate which emission source the intervention will reduce. 
For example, intervention_1 reduces emissions from emission_1, therefore there is a 'y' there.
Otherwise, leave cell blank.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Farah Houdroge</author>
  </authors>
  <commentList>
    <comment ref="A1" authorId="0" shapeId="0" xr:uid="{284EE7FF-2884-4B6A-9DFA-A02B1DE8C153}">
      <text>
        <r>
          <rPr>
            <b/>
            <sz val="9"/>
            <color indexed="81"/>
            <rFont val="Tahoma"/>
            <family val="2"/>
          </rPr>
          <t>Farah Houdroge:</t>
        </r>
        <r>
          <rPr>
            <sz val="9"/>
            <color indexed="81"/>
            <rFont val="Tahoma"/>
            <family val="2"/>
          </rPr>
          <t xml:space="preserve">
Specify the effect size of the intervention for each facility. For example, if intervention_1 reduces emissions from emission_1 by 80%, then the effect size is 0.80.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Farah Houdroge</author>
  </authors>
  <commentList>
    <comment ref="A1" authorId="0" shapeId="0" xr:uid="{48B3A64D-B640-49D0-9CF8-D7091701DDAE}">
      <text>
        <r>
          <rPr>
            <b/>
            <sz val="9"/>
            <color indexed="81"/>
            <rFont val="Tahoma"/>
            <family val="2"/>
          </rPr>
          <t>Farah Houdroge:</t>
        </r>
        <r>
          <rPr>
            <sz val="9"/>
            <color indexed="81"/>
            <rFont val="Tahoma"/>
            <family val="2"/>
          </rPr>
          <t xml:space="preserve">
Specify the total cost for implementing the intervention by facility.
The total cost should reflect how much money it would cost to cover the facility 100% with the intervention.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Farah Houdroge</author>
  </authors>
  <commentList>
    <comment ref="A1" authorId="0" shapeId="0" xr:uid="{94AB2D18-87C1-4B4B-9740-AA170EC48AFD}">
      <text>
        <r>
          <rPr>
            <b/>
            <sz val="9"/>
            <color indexed="81"/>
            <rFont val="Tahoma"/>
            <family val="2"/>
          </rPr>
          <t>Farah Houdroge:</t>
        </r>
        <r>
          <rPr>
            <sz val="9"/>
            <color indexed="81"/>
            <rFont val="Tahoma"/>
            <family val="2"/>
          </rPr>
          <t xml:space="preserve">
Specify the total cost for implementing the intervention by facility.
The total cost should reflect how much money it would cost to cover the facility 100% with the intervention.</t>
        </r>
      </text>
    </comment>
  </commentList>
</comments>
</file>

<file path=xl/sharedStrings.xml><?xml version="1.0" encoding="utf-8"?>
<sst xmlns="http://schemas.openxmlformats.org/spreadsheetml/2006/main" count="139" uniqueCount="82">
  <si>
    <t>facilities</t>
  </si>
  <si>
    <t>Code Name</t>
  </si>
  <si>
    <t>Display Name</t>
  </si>
  <si>
    <t>interventions</t>
  </si>
  <si>
    <t>y</t>
  </si>
  <si>
    <t>Databook entries</t>
  </si>
  <si>
    <t>Program book entries</t>
  </si>
  <si>
    <t>emission sources</t>
  </si>
  <si>
    <t>emission data</t>
  </si>
  <si>
    <t>emission targets</t>
  </si>
  <si>
    <t>effect sizes</t>
  </si>
  <si>
    <t>The first row and column of this table get updated automatically. Fill the table with the emission data for each facility.</t>
  </si>
  <si>
    <t>The first row and column of this table get updated automatically. Fill the table with 'y' where an intervention targets a specific emission source. Leave other cells blank.</t>
  </si>
  <si>
    <r>
      <t xml:space="preserve">List the emission sources. Example </t>
    </r>
    <r>
      <rPr>
        <b/>
        <sz val="11"/>
        <color theme="1"/>
        <rFont val="Calibri"/>
        <family val="2"/>
        <scheme val="minor"/>
      </rPr>
      <t>Code Name</t>
    </r>
    <r>
      <rPr>
        <sz val="11"/>
        <color theme="1"/>
        <rFont val="Calibri"/>
        <family val="2"/>
        <scheme val="minor"/>
      </rPr>
      <t xml:space="preserve"> format: emission_1, </t>
    </r>
    <r>
      <rPr>
        <b/>
        <sz val="11"/>
        <color theme="1"/>
        <rFont val="Calibri"/>
        <family val="2"/>
        <scheme val="minor"/>
      </rPr>
      <t>Display Name</t>
    </r>
    <r>
      <rPr>
        <sz val="11"/>
        <color theme="1"/>
        <rFont val="Calibri"/>
        <family val="2"/>
        <scheme val="minor"/>
      </rPr>
      <t xml:space="preserve"> format: Emission 1</t>
    </r>
  </si>
  <si>
    <r>
      <t xml:space="preserve">List the mitigation interventions. Example </t>
    </r>
    <r>
      <rPr>
        <b/>
        <sz val="11"/>
        <color theme="1"/>
        <rFont val="Calibri"/>
        <family val="2"/>
        <scheme val="minor"/>
      </rPr>
      <t>Code Name</t>
    </r>
    <r>
      <rPr>
        <sz val="11"/>
        <color theme="1"/>
        <rFont val="Calibri"/>
        <family val="2"/>
        <scheme val="minor"/>
      </rPr>
      <t xml:space="preserve"> format: intervention_1, </t>
    </r>
    <r>
      <rPr>
        <b/>
        <sz val="11"/>
        <color theme="1"/>
        <rFont val="Calibri"/>
        <family val="2"/>
        <scheme val="minor"/>
      </rPr>
      <t>Display Name</t>
    </r>
    <r>
      <rPr>
        <sz val="11"/>
        <color theme="1"/>
        <rFont val="Calibri"/>
        <family val="2"/>
        <scheme val="minor"/>
      </rPr>
      <t xml:space="preserve"> format: Intervention 1</t>
    </r>
  </si>
  <si>
    <t>The first row and column of this table get updated automatically. Specify the effect sizes of the interventions (if an intervention reduces emissions from a specific source by 80%, then effect size = 0.80).</t>
  </si>
  <si>
    <t>Waste</t>
  </si>
  <si>
    <t>Inhalers</t>
  </si>
  <si>
    <t>Vehicle Fuel (Owned Vehicles)</t>
  </si>
  <si>
    <t>Anaesthetic gases</t>
  </si>
  <si>
    <t>Refrigerants</t>
  </si>
  <si>
    <t>implementation costs</t>
  </si>
  <si>
    <t>The first row and column of this table get updated automatically. Specify the total cost of implementing the interventions to reach full coverage for each facility.</t>
  </si>
  <si>
    <t>maintenance costs</t>
  </si>
  <si>
    <t>The first row and column of this table get updated automatically. Specify the total (yearly) cost of maintaining the interventions at full coverage for each facility.</t>
  </si>
  <si>
    <t>Medical_Inhalers</t>
  </si>
  <si>
    <t>Anaesthetic_Gases</t>
  </si>
  <si>
    <t>Grid_Electricity</t>
  </si>
  <si>
    <t>Vehicle_Fuel_Owned</t>
  </si>
  <si>
    <t>Business_Travel</t>
  </si>
  <si>
    <t>Business travel (Taxi, Car hires, Train, Air travel, Local bus)</t>
  </si>
  <si>
    <t>Refrigeration_Gases</t>
  </si>
  <si>
    <t>Waste_Management</t>
  </si>
  <si>
    <t>facility</t>
  </si>
  <si>
    <r>
      <t xml:space="preserve">List the study site / facility. Example </t>
    </r>
    <r>
      <rPr>
        <b/>
        <sz val="11"/>
        <color theme="1"/>
        <rFont val="Calibri"/>
        <family val="2"/>
        <scheme val="minor"/>
      </rPr>
      <t>Code Name</t>
    </r>
    <r>
      <rPr>
        <sz val="11"/>
        <color theme="1"/>
        <rFont val="Calibri"/>
        <family val="2"/>
        <scheme val="minor"/>
      </rPr>
      <t xml:space="preserve"> format: facility_1, </t>
    </r>
    <r>
      <rPr>
        <b/>
        <sz val="11"/>
        <color theme="1"/>
        <rFont val="Calibri"/>
        <family val="2"/>
        <scheme val="minor"/>
      </rPr>
      <t>Display Name</t>
    </r>
    <r>
      <rPr>
        <sz val="11"/>
        <color theme="1"/>
        <rFont val="Calibri"/>
        <family val="2"/>
        <scheme val="minor"/>
      </rPr>
      <t xml:space="preserve"> format: Facility 1</t>
    </r>
  </si>
  <si>
    <t>Cost co-benefits</t>
  </si>
  <si>
    <t>Other co-benefits</t>
  </si>
  <si>
    <t>exclusions</t>
  </si>
  <si>
    <t>List any combinations of interventions that should not appear together in a scenario</t>
  </si>
  <si>
    <t>Additional annual CO2 reduction</t>
  </si>
  <si>
    <t>Mt_Darwin</t>
  </si>
  <si>
    <t>Mt Darwin District Hospital</t>
  </si>
  <si>
    <t>Grid Electricity ( Excluding Heating &amp; Lighting)</t>
  </si>
  <si>
    <t>Lighting</t>
  </si>
  <si>
    <t>Heating</t>
  </si>
  <si>
    <t>Building_Energy</t>
  </si>
  <si>
    <t>Building energy</t>
  </si>
  <si>
    <t>solar_system1</t>
  </si>
  <si>
    <t>Solar system (5Va)</t>
  </si>
  <si>
    <t>Reliable power, lower costs, better cold chain, supports medical equipment.</t>
  </si>
  <si>
    <t>led_light1</t>
  </si>
  <si>
    <t>35 LED lights (18W)</t>
  </si>
  <si>
    <t>Lower energy costs</t>
  </si>
  <si>
    <t>energy_efficient_fridge1</t>
  </si>
  <si>
    <t>1 Energy efficient large deep fridge</t>
  </si>
  <si>
    <t>Prevents spoilage, saves electricity, extends equipment lifespan.</t>
  </si>
  <si>
    <t>laundry_machine</t>
  </si>
  <si>
    <t>Saves water, protects linen, improves infection control.</t>
  </si>
  <si>
    <t>energy_efficient_ac_multi5</t>
  </si>
  <si>
    <t>5 Energy efficient AC units</t>
  </si>
  <si>
    <t>Better air quality, improved comfort, lower power bills.</t>
  </si>
  <si>
    <t>tree_planting_multi100</t>
  </si>
  <si>
    <t>100 Trees</t>
  </si>
  <si>
    <t>Improves air quality, provides shade, boosts mental health.</t>
  </si>
  <si>
    <t>tree_planting_multi200</t>
  </si>
  <si>
    <t>waste_segregation</t>
  </si>
  <si>
    <t>Reduces contamination, improves hygiene, saves disposal costs.</t>
  </si>
  <si>
    <t>energy_efficient_fridge_multi5</t>
  </si>
  <si>
    <t>5 Energy efficient small upright fridges</t>
  </si>
  <si>
    <t>Energy Efficient laundry Machine (10kg)</t>
  </si>
  <si>
    <t>energy_efficient_ac_multi1</t>
  </si>
  <si>
    <t>1 Energy efficient AC units</t>
  </si>
  <si>
    <t>energy_efficient_ac_multi10</t>
  </si>
  <si>
    <t>10 Energy efficient AC units</t>
  </si>
  <si>
    <t>staff_training_awareness</t>
  </si>
  <si>
    <t>Empowers staff, boosts efficiency, promotes sustainability.</t>
  </si>
  <si>
    <t>Contactor_logistics</t>
  </si>
  <si>
    <t>Contractor Logistics</t>
  </si>
  <si>
    <t>200 Trees</t>
  </si>
  <si>
    <t>Y</t>
  </si>
  <si>
    <t>Engagement &amp; awareness</t>
  </si>
  <si>
    <t xml:space="preserve">4 Waste segregation bins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</si>
</sst>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Red]\-&quot;$&quot;#,##0"/>
    <numFmt numFmtId="165" formatCode="_-&quot;$&quot;* #,##0.00_-;\-&quot;$&quot;* #,##0.00_-;_-&quot;$&quot;* &quot;-&quot;??_-;_-@_-"/>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b/>
      <sz val="12"/>
      <color theme="1"/>
      <name val="Calibri"/>
      <family val="2"/>
    </font>
    <font>
      <b/>
      <sz val="12"/>
      <color indexed="8"/>
      <name val="Calibri"/>
      <family val="2"/>
    </font>
    <font>
      <sz val="9"/>
      <color indexed="81"/>
      <name val="Tahoma"/>
      <family val="2"/>
    </font>
    <font>
      <b/>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165" fontId="1"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1" fillId="8" borderId="9" applyNumberFormat="0" applyFont="0" applyAlignment="0" applyProtection="0"/>
    <xf numFmtId="0" fontId="16" fillId="0" borderId="0" applyNumberFormat="0" applyFill="0" applyBorder="0" applyAlignment="0" applyProtection="0"/>
    <xf numFmtId="0" fontId="2" fillId="0" borderId="10"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5">
    <xf numFmtId="0" fontId="0" fillId="0" borderId="0" xfId="0"/>
    <xf numFmtId="165" fontId="0" fillId="0" borderId="0" xfId="1" applyFont="1"/>
    <xf numFmtId="0" fontId="2" fillId="0" borderId="1" xfId="0" applyFont="1" applyBorder="1" applyAlignment="1">
      <alignment horizontal="center" vertical="top"/>
    </xf>
    <xf numFmtId="0" fontId="2" fillId="0" borderId="0" xfId="0" applyFont="1"/>
    <xf numFmtId="0" fontId="0" fillId="0" borderId="0" xfId="0" applyAlignment="1">
      <alignment horizontal="center"/>
    </xf>
    <xf numFmtId="0" fontId="0" fillId="33" borderId="0" xfId="0" applyFill="1"/>
    <xf numFmtId="0" fontId="18" fillId="0" borderId="0" xfId="43" applyFill="1"/>
    <xf numFmtId="0" fontId="19" fillId="33" borderId="0" xfId="0" applyFont="1" applyFill="1"/>
    <xf numFmtId="0" fontId="18" fillId="33" borderId="0" xfId="43" applyFill="1"/>
    <xf numFmtId="0" fontId="20" fillId="33" borderId="0" xfId="0" applyFont="1" applyFill="1"/>
    <xf numFmtId="2" fontId="0" fillId="0" borderId="0" xfId="0" applyNumberFormat="1"/>
    <xf numFmtId="2" fontId="2" fillId="0" borderId="1" xfId="0" applyNumberFormat="1" applyFont="1" applyBorder="1" applyAlignment="1">
      <alignment horizontal="center" vertical="top"/>
    </xf>
    <xf numFmtId="165" fontId="0" fillId="0" borderId="0" xfId="1" applyFont="1" applyFill="1" applyBorder="1"/>
    <xf numFmtId="164" fontId="0" fillId="0" borderId="0" xfId="0" applyNumberFormat="1"/>
    <xf numFmtId="2" fontId="0" fillId="34" borderId="0" xfId="0" applyNumberFormat="1" applyFill="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etina%20Juliet%20Tsvaki\Downloads\input_data_example_mtdarwin_with_calcs_13_3_25.xlsx" TargetMode="External"/><Relationship Id="rId1" Type="http://schemas.openxmlformats.org/officeDocument/2006/relationships/externalLinkPath" Target="/Users/Jetina%20Juliet%20Tsvaki/Downloads/input_data_example_mtdarwin_with_calcs_13_3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facility"/>
      <sheetName val="emission sources"/>
      <sheetName val="emitters"/>
      <sheetName val="2023 annual emissions"/>
      <sheetName val="emission data"/>
      <sheetName val="intervention description"/>
      <sheetName val="interventions"/>
      <sheetName val="interventions carbon saving"/>
      <sheetName val="interventions cost saving"/>
      <sheetName val="exclusions"/>
      <sheetName val="emission targets"/>
      <sheetName val="effect sizes"/>
      <sheetName val="implementation costs"/>
      <sheetName val="maintenance co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D2">
            <v>700</v>
          </cell>
          <cell r="F2">
            <v>900</v>
          </cell>
        </row>
      </sheetData>
      <sheetData sheetId="1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A0BE-470B-4175-B603-1094A296EDB0}">
  <dimension ref="B2:C13"/>
  <sheetViews>
    <sheetView workbookViewId="0">
      <selection activeCell="N22" sqref="N22"/>
    </sheetView>
  </sheetViews>
  <sheetFormatPr defaultColWidth="9.1796875" defaultRowHeight="14.5" x14ac:dyDescent="0.35"/>
  <cols>
    <col min="1" max="1" width="9.1796875" style="5"/>
    <col min="2" max="2" width="22.7265625" style="5" bestFit="1" customWidth="1"/>
    <col min="3" max="16384" width="9.1796875" style="5"/>
  </cols>
  <sheetData>
    <row r="2" spans="2:3" ht="15.5" x14ac:dyDescent="0.35">
      <c r="B2" s="7" t="s">
        <v>5</v>
      </c>
      <c r="C2"/>
    </row>
    <row r="3" spans="2:3" x14ac:dyDescent="0.35">
      <c r="B3" s="6" t="s">
        <v>33</v>
      </c>
      <c r="C3" s="5" t="s">
        <v>34</v>
      </c>
    </row>
    <row r="4" spans="2:3" x14ac:dyDescent="0.35">
      <c r="B4" s="8" t="s">
        <v>7</v>
      </c>
      <c r="C4" s="5" t="s">
        <v>13</v>
      </c>
    </row>
    <row r="5" spans="2:3" x14ac:dyDescent="0.35">
      <c r="B5" s="8" t="s">
        <v>8</v>
      </c>
      <c r="C5" s="5" t="s">
        <v>11</v>
      </c>
    </row>
    <row r="7" spans="2:3" ht="15.5" x14ac:dyDescent="0.35">
      <c r="B7" s="9" t="s">
        <v>6</v>
      </c>
      <c r="C7"/>
    </row>
    <row r="8" spans="2:3" x14ac:dyDescent="0.35">
      <c r="B8" s="8" t="s">
        <v>3</v>
      </c>
      <c r="C8" s="5" t="s">
        <v>14</v>
      </c>
    </row>
    <row r="9" spans="2:3" x14ac:dyDescent="0.35">
      <c r="B9" s="8" t="s">
        <v>37</v>
      </c>
      <c r="C9" s="5" t="s">
        <v>38</v>
      </c>
    </row>
    <row r="10" spans="2:3" x14ac:dyDescent="0.35">
      <c r="B10" s="8" t="s">
        <v>9</v>
      </c>
      <c r="C10" s="5" t="s">
        <v>12</v>
      </c>
    </row>
    <row r="11" spans="2:3" x14ac:dyDescent="0.35">
      <c r="B11" s="8" t="s">
        <v>10</v>
      </c>
      <c r="C11" s="5" t="s">
        <v>15</v>
      </c>
    </row>
    <row r="12" spans="2:3" x14ac:dyDescent="0.35">
      <c r="B12" s="8" t="s">
        <v>21</v>
      </c>
      <c r="C12" s="5" t="s">
        <v>22</v>
      </c>
    </row>
    <row r="13" spans="2:3" x14ac:dyDescent="0.35">
      <c r="B13" s="8" t="s">
        <v>23</v>
      </c>
      <c r="C13" s="5" t="s">
        <v>24</v>
      </c>
    </row>
  </sheetData>
  <hyperlinks>
    <hyperlink ref="B4" location="'emission sources'!A1" display="emission sources" xr:uid="{662CC5AF-605E-4A22-9086-DB57B7FB9153}"/>
    <hyperlink ref="B5" location="'emission data'!A1" display="emission data" xr:uid="{FB34BA68-AC39-41FB-AAC1-6A3D7401AA23}"/>
    <hyperlink ref="B8" location="interventions!A1" display="interventions" xr:uid="{2CCB4EC5-6AA2-4CBA-A214-5DBE5B510111}"/>
    <hyperlink ref="B10" location="'emission targets'!A1" display="emission targets" xr:uid="{05357702-91DB-44A2-99EF-1E8E5E71C32A}"/>
    <hyperlink ref="B3" location="'study sites (list)'!A1" display="Study sites (list)" xr:uid="{DD139FC0-DD07-4A5E-80F8-48388CC1E29D}"/>
    <hyperlink ref="B11" location="'effect sizes'!A1" display="effect sizes" xr:uid="{521B4F14-D467-49E1-BF84-4753AF229E92}"/>
    <hyperlink ref="B12" location="'implementation costs'!A1" display="unit costs" xr:uid="{83049AF7-EE38-4753-9DCF-36BE89946408}"/>
    <hyperlink ref="B13" location="'maintenance costs'!A1" display="implementation costs" xr:uid="{E0331D25-19E7-4CE8-88D5-A58F7B5E8A3A}"/>
  </hyperlink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6C060-663F-4CB7-BA8D-E3F63239492A}">
  <sheetPr>
    <tabColor theme="9"/>
  </sheetPr>
  <dimension ref="A1:B2"/>
  <sheetViews>
    <sheetView zoomScaleNormal="100" workbookViewId="0">
      <selection activeCell="B2" sqref="B2"/>
    </sheetView>
  </sheetViews>
  <sheetFormatPr defaultRowHeight="14.5" x14ac:dyDescent="0.35"/>
  <cols>
    <col min="1" max="1" width="21.54296875" bestFit="1" customWidth="1"/>
    <col min="2" max="2" width="75" bestFit="1" customWidth="1"/>
  </cols>
  <sheetData>
    <row r="1" spans="1:2" x14ac:dyDescent="0.35">
      <c r="A1" s="3" t="s">
        <v>1</v>
      </c>
      <c r="B1" s="3" t="s">
        <v>2</v>
      </c>
    </row>
    <row r="2" spans="1:2" x14ac:dyDescent="0.35">
      <c r="A2" t="s">
        <v>40</v>
      </c>
      <c r="B2"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70842-2DE8-4E5B-A349-81C402F795BF}">
  <sheetPr>
    <tabColor theme="9" tint="0.39997558519241921"/>
  </sheetPr>
  <dimension ref="A1:C12"/>
  <sheetViews>
    <sheetView zoomScaleNormal="100" workbookViewId="0">
      <selection activeCell="B13" sqref="B13"/>
    </sheetView>
  </sheetViews>
  <sheetFormatPr defaultRowHeight="14.5" x14ac:dyDescent="0.35"/>
  <cols>
    <col min="1" max="1" width="32.54296875" customWidth="1"/>
    <col min="2" max="2" width="41.1796875" bestFit="1" customWidth="1"/>
  </cols>
  <sheetData>
    <row r="1" spans="1:3" x14ac:dyDescent="0.35">
      <c r="A1" s="3" t="s">
        <v>1</v>
      </c>
      <c r="B1" s="3" t="s">
        <v>2</v>
      </c>
      <c r="C1" s="3"/>
    </row>
    <row r="2" spans="1:3" x14ac:dyDescent="0.35">
      <c r="A2" t="s">
        <v>27</v>
      </c>
      <c r="B2" t="s">
        <v>42</v>
      </c>
    </row>
    <row r="3" spans="1:3" x14ac:dyDescent="0.35">
      <c r="A3" t="s">
        <v>43</v>
      </c>
      <c r="B3" t="s">
        <v>43</v>
      </c>
    </row>
    <row r="4" spans="1:3" x14ac:dyDescent="0.35">
      <c r="A4" t="s">
        <v>44</v>
      </c>
      <c r="B4" t="s">
        <v>44</v>
      </c>
    </row>
    <row r="5" spans="1:3" x14ac:dyDescent="0.35">
      <c r="A5" t="s">
        <v>45</v>
      </c>
      <c r="B5" t="s">
        <v>46</v>
      </c>
    </row>
    <row r="6" spans="1:3" x14ac:dyDescent="0.35">
      <c r="A6" t="s">
        <v>28</v>
      </c>
      <c r="B6" t="s">
        <v>18</v>
      </c>
    </row>
    <row r="7" spans="1:3" x14ac:dyDescent="0.35">
      <c r="A7" t="s">
        <v>29</v>
      </c>
      <c r="B7" t="s">
        <v>30</v>
      </c>
    </row>
    <row r="8" spans="1:3" x14ac:dyDescent="0.35">
      <c r="A8" t="s">
        <v>26</v>
      </c>
      <c r="B8" t="s">
        <v>19</v>
      </c>
    </row>
    <row r="9" spans="1:3" x14ac:dyDescent="0.35">
      <c r="A9" t="s">
        <v>31</v>
      </c>
      <c r="B9" t="s">
        <v>20</v>
      </c>
    </row>
    <row r="10" spans="1:3" x14ac:dyDescent="0.35">
      <c r="A10" t="s">
        <v>25</v>
      </c>
      <c r="B10" t="s">
        <v>17</v>
      </c>
    </row>
    <row r="11" spans="1:3" x14ac:dyDescent="0.35">
      <c r="A11" t="s">
        <v>32</v>
      </c>
      <c r="B11" t="s">
        <v>16</v>
      </c>
    </row>
    <row r="12" spans="1:3" x14ac:dyDescent="0.35">
      <c r="A12" t="s">
        <v>76</v>
      </c>
      <c r="B12" t="s">
        <v>77</v>
      </c>
    </row>
  </sheetData>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CDC55-F78F-4D4F-AD5B-9673D5DF0E3F}">
  <sheetPr>
    <tabColor theme="9" tint="0.39997558519241921"/>
  </sheetPr>
  <dimension ref="A1:KB298"/>
  <sheetViews>
    <sheetView topLeftCell="D1" zoomScaleNormal="100" workbookViewId="0">
      <selection activeCell="E14" sqref="E14"/>
    </sheetView>
  </sheetViews>
  <sheetFormatPr defaultRowHeight="14.5" x14ac:dyDescent="0.35"/>
  <cols>
    <col min="1" max="1" width="19.81640625" customWidth="1"/>
    <col min="2" max="2" width="13.54296875" bestFit="1" customWidth="1"/>
    <col min="3" max="3" width="11.26953125" bestFit="1" customWidth="1"/>
    <col min="4" max="4" width="16.453125" bestFit="1" customWidth="1"/>
    <col min="5" max="5" width="15.54296875" customWidth="1"/>
    <col min="6" max="6" width="21.81640625" customWidth="1"/>
    <col min="7" max="7" width="15.453125" customWidth="1"/>
    <col min="8" max="8" width="17.54296875" customWidth="1"/>
    <col min="9" max="9" width="18.54296875" customWidth="1"/>
    <col min="10" max="10" width="19.26953125" customWidth="1"/>
    <col min="11" max="11" width="23.1796875" customWidth="1"/>
  </cols>
  <sheetData>
    <row r="1" spans="1:288" s="2" customFormat="1" x14ac:dyDescent="0.35">
      <c r="A1" s="2" t="s">
        <v>0</v>
      </c>
      <c r="B1" s="2" t="str">
        <f>IF('emission sources'!$A2&lt;&gt;"",'emission sources'!$A2,"")</f>
        <v>Grid_Electricity</v>
      </c>
      <c r="C1" s="2" t="str">
        <f>IF('emission sources'!$A3&lt;&gt;"",'emission sources'!$A3,"")</f>
        <v>Lighting</v>
      </c>
      <c r="D1" s="2" t="str">
        <f>IF('emission sources'!$A4&lt;&gt;"",'emission sources'!$A4,"")</f>
        <v>Heating</v>
      </c>
      <c r="E1" s="2" t="str">
        <f>IF('emission sources'!$A5&lt;&gt;"",'emission sources'!$A5,"")</f>
        <v>Building_Energy</v>
      </c>
      <c r="F1" s="2" t="str">
        <f>IF('emission sources'!$A6&lt;&gt;"",'emission sources'!$A6,"")</f>
        <v>Vehicle_Fuel_Owned</v>
      </c>
      <c r="G1" s="2" t="str">
        <f>IF('emission sources'!$A7&lt;&gt;"",'emission sources'!$A7,"")</f>
        <v>Business_Travel</v>
      </c>
      <c r="H1" s="2" t="str">
        <f>IF('emission sources'!$A8&lt;&gt;"",'emission sources'!$A8,"")</f>
        <v>Anaesthetic_Gases</v>
      </c>
      <c r="I1" s="2" t="str">
        <f>IF('emission sources'!$A9&lt;&gt;"",'emission sources'!$A9,"")</f>
        <v>Refrigeration_Gases</v>
      </c>
      <c r="J1" s="2" t="str">
        <f>IF('emission sources'!$A10&lt;&gt;"",'emission sources'!$A10,"")</f>
        <v>Medical_Inhalers</v>
      </c>
      <c r="K1" s="2" t="str">
        <f>IF('emission sources'!$A11&lt;&gt;"",'emission sources'!$A11,"")</f>
        <v>Waste_Management</v>
      </c>
      <c r="L1" s="2" t="str">
        <f>IF('emission sources'!$A12&lt;&gt;"",'emission sources'!$A12,"")</f>
        <v>Contactor_logistics</v>
      </c>
      <c r="M1" s="2" t="str">
        <f>IF('emission sources'!$A13&lt;&gt;"",'emission sources'!$A13,"")</f>
        <v/>
      </c>
      <c r="N1" s="2" t="str">
        <f>IF('emission sources'!$A14&lt;&gt;"",'emission sources'!$A14,"")</f>
        <v/>
      </c>
      <c r="O1" s="2" t="str">
        <f>IF('emission sources'!$A15&lt;&gt;"",'emission sources'!$A15,"")</f>
        <v/>
      </c>
      <c r="P1" s="2" t="str">
        <f>IF('emission sources'!$A16&lt;&gt;"",'emission sources'!$A16,"")</f>
        <v/>
      </c>
      <c r="Q1" s="2" t="str">
        <f>IF('emission sources'!$A17&lt;&gt;"",'emission sources'!$A17,"")</f>
        <v/>
      </c>
      <c r="R1" s="2" t="str">
        <f>IF('emission sources'!$A18&lt;&gt;"",'emission sources'!$A18,"")</f>
        <v/>
      </c>
      <c r="S1" s="2" t="str">
        <f>IF('emission sources'!$A19&lt;&gt;"",'emission sources'!$A19,"")</f>
        <v/>
      </c>
      <c r="T1" s="2" t="str">
        <f>IF('emission sources'!$A20&lt;&gt;"",'emission sources'!$A20,"")</f>
        <v/>
      </c>
      <c r="U1" s="2" t="str">
        <f>IF('emission sources'!$A21&lt;&gt;"",'emission sources'!$A21,"")</f>
        <v/>
      </c>
      <c r="V1" s="2" t="str">
        <f>IF('emission sources'!$A22&lt;&gt;"",'emission sources'!$A22,"")</f>
        <v/>
      </c>
      <c r="W1" s="2" t="str">
        <f>IF('emission sources'!$A23&lt;&gt;"",'emission sources'!$A23,"")</f>
        <v/>
      </c>
      <c r="X1" s="2" t="str">
        <f>IF('emission sources'!$A24&lt;&gt;"",'emission sources'!$A24,"")</f>
        <v/>
      </c>
      <c r="Y1" s="2" t="str">
        <f>IF('emission sources'!$A25&lt;&gt;"",'emission sources'!$A25,"")</f>
        <v/>
      </c>
      <c r="Z1" s="2" t="str">
        <f>IF('emission sources'!$A26&lt;&gt;"",'emission sources'!$A26,"")</f>
        <v/>
      </c>
      <c r="AA1" s="2" t="str">
        <f>IF('emission sources'!$A27&lt;&gt;"",'emission sources'!$A27,"")</f>
        <v/>
      </c>
      <c r="AB1" s="2" t="str">
        <f>IF('emission sources'!$A28&lt;&gt;"",'emission sources'!$A28,"")</f>
        <v/>
      </c>
      <c r="AC1" s="2" t="str">
        <f>IF('emission sources'!$A29&lt;&gt;"",'emission sources'!$A29,"")</f>
        <v/>
      </c>
      <c r="AD1" s="2" t="str">
        <f>IF('emission sources'!$A30&lt;&gt;"",'emission sources'!$A30,"")</f>
        <v/>
      </c>
      <c r="AE1" s="2" t="str">
        <f>IF('emission sources'!$A31&lt;&gt;"",'emission sources'!$A31,"")</f>
        <v/>
      </c>
      <c r="AF1" s="2" t="str">
        <f>IF('emission sources'!$A32&lt;&gt;"",'emission sources'!$A32,"")</f>
        <v/>
      </c>
      <c r="AG1" s="2" t="str">
        <f>IF('emission sources'!$A33&lt;&gt;"",'emission sources'!$A33,"")</f>
        <v/>
      </c>
      <c r="AH1" s="2" t="str">
        <f>IF('emission sources'!$A34&lt;&gt;"",'emission sources'!$A34,"")</f>
        <v/>
      </c>
      <c r="AI1" s="2" t="str">
        <f>IF('emission sources'!$A35&lt;&gt;"",'emission sources'!$A35,"")</f>
        <v/>
      </c>
      <c r="AJ1" s="2" t="str">
        <f>IF('emission sources'!$A36&lt;&gt;"",'emission sources'!$A36,"")</f>
        <v/>
      </c>
      <c r="AK1" s="2" t="str">
        <f>IF('emission sources'!$A37&lt;&gt;"",'emission sources'!$A37,"")</f>
        <v/>
      </c>
      <c r="AL1" s="2" t="str">
        <f>IF('emission sources'!$A38&lt;&gt;"",'emission sources'!$A38,"")</f>
        <v/>
      </c>
      <c r="AM1" s="2" t="str">
        <f>IF('emission sources'!$A39&lt;&gt;"",'emission sources'!$A39,"")</f>
        <v/>
      </c>
      <c r="AN1" s="2" t="str">
        <f>IF('emission sources'!$A40&lt;&gt;"",'emission sources'!$A40,"")</f>
        <v/>
      </c>
      <c r="AO1" s="2" t="str">
        <f>IF('emission sources'!$A41&lt;&gt;"",'emission sources'!$A41,"")</f>
        <v/>
      </c>
      <c r="AP1" s="2" t="str">
        <f>IF('emission sources'!$A42&lt;&gt;"",'emission sources'!$A42,"")</f>
        <v/>
      </c>
      <c r="AQ1" s="2" t="str">
        <f>IF('emission sources'!$A43&lt;&gt;"",'emission sources'!$A43,"")</f>
        <v/>
      </c>
      <c r="AR1" s="2" t="str">
        <f>IF('emission sources'!$A44&lt;&gt;"",'emission sources'!$A44,"")</f>
        <v/>
      </c>
      <c r="AS1" s="2" t="str">
        <f>IF('emission sources'!$A45&lt;&gt;"",'emission sources'!$A45,"")</f>
        <v/>
      </c>
      <c r="AT1" s="2" t="str">
        <f>IF('emission sources'!$A46&lt;&gt;"",'emission sources'!$A46,"")</f>
        <v/>
      </c>
      <c r="AU1" s="2" t="str">
        <f>IF('emission sources'!$A47&lt;&gt;"",'emission sources'!$A47,"")</f>
        <v/>
      </c>
      <c r="AV1" s="2" t="str">
        <f>IF('emission sources'!$A48&lt;&gt;"",'emission sources'!$A48,"")</f>
        <v/>
      </c>
      <c r="AW1" s="2" t="str">
        <f>IF('emission sources'!$A49&lt;&gt;"",'emission sources'!$A49,"")</f>
        <v/>
      </c>
      <c r="AX1" s="2" t="str">
        <f>IF('emission sources'!$A50&lt;&gt;"",'emission sources'!$A50,"")</f>
        <v/>
      </c>
      <c r="AY1" s="2" t="str">
        <f>IF('emission sources'!$A51&lt;&gt;"",'emission sources'!$A51,"")</f>
        <v/>
      </c>
      <c r="AZ1" s="2" t="str">
        <f>IF('emission sources'!$A52&lt;&gt;"",'emission sources'!$A52,"")</f>
        <v/>
      </c>
      <c r="BA1" s="2" t="str">
        <f>IF('emission sources'!$A53&lt;&gt;"",'emission sources'!$A53,"")</f>
        <v/>
      </c>
      <c r="BB1" s="2" t="str">
        <f>IF('emission sources'!$A54&lt;&gt;"",'emission sources'!$A54,"")</f>
        <v/>
      </c>
      <c r="BC1" s="2" t="str">
        <f>IF('emission sources'!$A55&lt;&gt;"",'emission sources'!$A55,"")</f>
        <v/>
      </c>
      <c r="BD1" s="2" t="str">
        <f>IF('emission sources'!$A56&lt;&gt;"",'emission sources'!$A56,"")</f>
        <v/>
      </c>
      <c r="BE1" s="2" t="str">
        <f>IF('emission sources'!$A57&lt;&gt;"",'emission sources'!$A57,"")</f>
        <v/>
      </c>
      <c r="BF1" s="2" t="str">
        <f>IF('emission sources'!$A58&lt;&gt;"",'emission sources'!$A58,"")</f>
        <v/>
      </c>
      <c r="BG1" s="2" t="str">
        <f>IF('emission sources'!$A59&lt;&gt;"",'emission sources'!$A59,"")</f>
        <v/>
      </c>
      <c r="BH1" s="2" t="str">
        <f>IF('emission sources'!$A60&lt;&gt;"",'emission sources'!$A60,"")</f>
        <v/>
      </c>
      <c r="BI1" s="2" t="str">
        <f>IF('emission sources'!$A61&lt;&gt;"",'emission sources'!$A61,"")</f>
        <v/>
      </c>
      <c r="BJ1" s="2" t="str">
        <f>IF('emission sources'!$A62&lt;&gt;"",'emission sources'!$A62,"")</f>
        <v/>
      </c>
      <c r="BK1" s="2" t="str">
        <f>IF('emission sources'!$A63&lt;&gt;"",'emission sources'!$A63,"")</f>
        <v/>
      </c>
      <c r="BL1" s="2" t="str">
        <f>IF('emission sources'!$A64&lt;&gt;"",'emission sources'!$A64,"")</f>
        <v/>
      </c>
      <c r="BM1" s="2" t="str">
        <f>IF('emission sources'!$A65&lt;&gt;"",'emission sources'!$A65,"")</f>
        <v/>
      </c>
      <c r="BN1" s="2" t="str">
        <f>IF('emission sources'!$A66&lt;&gt;"",'emission sources'!$A66,"")</f>
        <v/>
      </c>
      <c r="BO1" s="2" t="str">
        <f>IF('emission sources'!$A67&lt;&gt;"",'emission sources'!$A67,"")</f>
        <v/>
      </c>
      <c r="BP1" s="2" t="str">
        <f>IF('emission sources'!$A68&lt;&gt;"",'emission sources'!$A68,"")</f>
        <v/>
      </c>
      <c r="BQ1" s="2" t="str">
        <f>IF('emission sources'!$A69&lt;&gt;"",'emission sources'!$A69,"")</f>
        <v/>
      </c>
      <c r="BR1" s="2" t="str">
        <f>IF('emission sources'!$A70&lt;&gt;"",'emission sources'!$A70,"")</f>
        <v/>
      </c>
      <c r="BS1" s="2" t="str">
        <f>IF('emission sources'!$A71&lt;&gt;"",'emission sources'!$A71,"")</f>
        <v/>
      </c>
      <c r="BT1" s="2" t="str">
        <f>IF('emission sources'!$A72&lt;&gt;"",'emission sources'!$A72,"")</f>
        <v/>
      </c>
      <c r="BU1" s="2" t="str">
        <f>IF('emission sources'!$A73&lt;&gt;"",'emission sources'!$A73,"")</f>
        <v/>
      </c>
      <c r="BV1" s="2" t="str">
        <f>IF('emission sources'!$A74&lt;&gt;"",'emission sources'!$A74,"")</f>
        <v/>
      </c>
      <c r="BW1" s="2" t="str">
        <f>IF('emission sources'!$A75&lt;&gt;"",'emission sources'!$A75,"")</f>
        <v/>
      </c>
      <c r="BX1" s="2" t="str">
        <f>IF('emission sources'!$A76&lt;&gt;"",'emission sources'!$A76,"")</f>
        <v/>
      </c>
      <c r="BY1" s="2" t="str">
        <f>IF('emission sources'!$A77&lt;&gt;"",'emission sources'!$A77,"")</f>
        <v/>
      </c>
      <c r="BZ1" s="2" t="str">
        <f>IF('emission sources'!$A78&lt;&gt;"",'emission sources'!$A78,"")</f>
        <v/>
      </c>
      <c r="CA1" s="2" t="str">
        <f>IF('emission sources'!$A79&lt;&gt;"",'emission sources'!$A79,"")</f>
        <v/>
      </c>
      <c r="CB1" s="2" t="str">
        <f>IF('emission sources'!$A80&lt;&gt;"",'emission sources'!$A80,"")</f>
        <v/>
      </c>
      <c r="CC1" s="2" t="str">
        <f>IF('emission sources'!$A81&lt;&gt;"",'emission sources'!$A81,"")</f>
        <v/>
      </c>
      <c r="CD1" s="2" t="str">
        <f>IF('emission sources'!$A82&lt;&gt;"",'emission sources'!$A82,"")</f>
        <v/>
      </c>
      <c r="CE1" s="2" t="str">
        <f>IF('emission sources'!$A83&lt;&gt;"",'emission sources'!$A83,"")</f>
        <v/>
      </c>
      <c r="CF1" s="2" t="str">
        <f>IF('emission sources'!$A84&lt;&gt;"",'emission sources'!$A84,"")</f>
        <v/>
      </c>
      <c r="CG1" s="2" t="str">
        <f>IF('emission sources'!$A85&lt;&gt;"",'emission sources'!$A85,"")</f>
        <v/>
      </c>
      <c r="CH1" s="2" t="str">
        <f>IF('emission sources'!$A86&lt;&gt;"",'emission sources'!$A86,"")</f>
        <v/>
      </c>
      <c r="CI1" s="2" t="str">
        <f>IF('emission sources'!$A87&lt;&gt;"",'emission sources'!$A87,"")</f>
        <v/>
      </c>
      <c r="CJ1" s="2" t="str">
        <f>IF('emission sources'!$A88&lt;&gt;"",'emission sources'!$A88,"")</f>
        <v/>
      </c>
      <c r="CK1" s="2" t="str">
        <f>IF('emission sources'!$A89&lt;&gt;"",'emission sources'!$A89,"")</f>
        <v/>
      </c>
      <c r="CL1" s="2" t="str">
        <f>IF('emission sources'!$A90&lt;&gt;"",'emission sources'!$A90,"")</f>
        <v/>
      </c>
      <c r="CM1" s="2" t="str">
        <f>IF('emission sources'!$A91&lt;&gt;"",'emission sources'!$A91,"")</f>
        <v/>
      </c>
      <c r="CN1" s="2" t="str">
        <f>IF('emission sources'!$A92&lt;&gt;"",'emission sources'!$A92,"")</f>
        <v/>
      </c>
      <c r="CO1" s="2" t="str">
        <f>IF('emission sources'!$A93&lt;&gt;"",'emission sources'!$A93,"")</f>
        <v/>
      </c>
      <c r="CP1" s="2" t="str">
        <f>IF('emission sources'!$A94&lt;&gt;"",'emission sources'!$A94,"")</f>
        <v/>
      </c>
      <c r="CQ1" s="2" t="str">
        <f>IF('emission sources'!$A95&lt;&gt;"",'emission sources'!$A95,"")</f>
        <v/>
      </c>
      <c r="CR1" s="2" t="str">
        <f>IF('emission sources'!$A96&lt;&gt;"",'emission sources'!$A96,"")</f>
        <v/>
      </c>
      <c r="CS1" s="2" t="str">
        <f>IF('emission sources'!$A97&lt;&gt;"",'emission sources'!$A97,"")</f>
        <v/>
      </c>
      <c r="CT1" s="2" t="str">
        <f>IF('emission sources'!$A98&lt;&gt;"",'emission sources'!$A98,"")</f>
        <v/>
      </c>
      <c r="CU1" s="2" t="str">
        <f>IF('emission sources'!$A99&lt;&gt;"",'emission sources'!$A99,"")</f>
        <v/>
      </c>
      <c r="CV1" s="2" t="str">
        <f>IF('emission sources'!$A100&lt;&gt;"",'emission sources'!$A100,"")</f>
        <v/>
      </c>
      <c r="CW1" s="2" t="str">
        <f>IF('emission sources'!$A101&lt;&gt;"",'emission sources'!$A101,"")</f>
        <v/>
      </c>
      <c r="CX1" s="2" t="str">
        <f>IF('emission sources'!$A102&lt;&gt;"",'emission sources'!$A102,"")</f>
        <v/>
      </c>
      <c r="CY1" s="2" t="str">
        <f>IF('emission sources'!$A103&lt;&gt;"",'emission sources'!$A103,"")</f>
        <v/>
      </c>
      <c r="CZ1" s="2" t="str">
        <f>IF('emission sources'!$A104&lt;&gt;"",'emission sources'!$A104,"")</f>
        <v/>
      </c>
      <c r="DA1" s="2" t="str">
        <f>IF('emission sources'!$A105&lt;&gt;"",'emission sources'!$A105,"")</f>
        <v/>
      </c>
      <c r="DB1" s="2" t="str">
        <f>IF('emission sources'!$A106&lt;&gt;"",'emission sources'!$A106,"")</f>
        <v/>
      </c>
      <c r="DC1" s="2" t="str">
        <f>IF('emission sources'!$A107&lt;&gt;"",'emission sources'!$A107,"")</f>
        <v/>
      </c>
      <c r="DD1" s="2" t="str">
        <f>IF('emission sources'!$A108&lt;&gt;"",'emission sources'!$A108,"")</f>
        <v/>
      </c>
      <c r="DE1" s="2" t="str">
        <f>IF('emission sources'!$A109&lt;&gt;"",'emission sources'!$A109,"")</f>
        <v/>
      </c>
      <c r="DF1" s="2" t="str">
        <f>IF('emission sources'!$A110&lt;&gt;"",'emission sources'!$A110,"")</f>
        <v/>
      </c>
      <c r="DG1" s="2" t="str">
        <f>IF('emission sources'!$A111&lt;&gt;"",'emission sources'!$A111,"")</f>
        <v/>
      </c>
      <c r="DH1" s="2" t="str">
        <f>IF('emission sources'!$A112&lt;&gt;"",'emission sources'!$A112,"")</f>
        <v/>
      </c>
      <c r="DI1" s="2" t="str">
        <f>IF('emission sources'!$A113&lt;&gt;"",'emission sources'!$A113,"")</f>
        <v/>
      </c>
      <c r="DJ1" s="2" t="str">
        <f>IF('emission sources'!$A114&lt;&gt;"",'emission sources'!$A114,"")</f>
        <v/>
      </c>
      <c r="DK1" s="2" t="str">
        <f>IF('emission sources'!$A115&lt;&gt;"",'emission sources'!$A115,"")</f>
        <v/>
      </c>
      <c r="DL1" s="2" t="str">
        <f>IF('emission sources'!$A116&lt;&gt;"",'emission sources'!$A116,"")</f>
        <v/>
      </c>
      <c r="DM1" s="2" t="str">
        <f>IF('emission sources'!$A117&lt;&gt;"",'emission sources'!$A117,"")</f>
        <v/>
      </c>
      <c r="DN1" s="2" t="str">
        <f>IF('emission sources'!$A118&lt;&gt;"",'emission sources'!$A118,"")</f>
        <v/>
      </c>
      <c r="DO1" s="2" t="str">
        <f>IF('emission sources'!$A119&lt;&gt;"",'emission sources'!$A119,"")</f>
        <v/>
      </c>
      <c r="DP1" s="2" t="str">
        <f>IF('emission sources'!$A120&lt;&gt;"",'emission sources'!$A120,"")</f>
        <v/>
      </c>
      <c r="DQ1" s="2" t="str">
        <f>IF('emission sources'!$A121&lt;&gt;"",'emission sources'!$A121,"")</f>
        <v/>
      </c>
      <c r="DR1" s="2" t="str">
        <f>IF('emission sources'!$A122&lt;&gt;"",'emission sources'!$A122,"")</f>
        <v/>
      </c>
      <c r="DS1" s="2" t="str">
        <f>IF('emission sources'!$A123&lt;&gt;"",'emission sources'!$A123,"")</f>
        <v/>
      </c>
      <c r="DT1" s="2" t="str">
        <f>IF('emission sources'!$A124&lt;&gt;"",'emission sources'!$A124,"")</f>
        <v/>
      </c>
      <c r="DU1" s="2" t="str">
        <f>IF('emission sources'!$A125&lt;&gt;"",'emission sources'!$A125,"")</f>
        <v/>
      </c>
      <c r="DV1" s="2" t="str">
        <f>IF('emission sources'!$A126&lt;&gt;"",'emission sources'!$A126,"")</f>
        <v/>
      </c>
      <c r="DW1" s="2" t="str">
        <f>IF('emission sources'!$A127&lt;&gt;"",'emission sources'!$A127,"")</f>
        <v/>
      </c>
      <c r="DX1" s="2" t="str">
        <f>IF('emission sources'!$A128&lt;&gt;"",'emission sources'!$A128,"")</f>
        <v/>
      </c>
      <c r="DY1" s="2" t="str">
        <f>IF('emission sources'!$A129&lt;&gt;"",'emission sources'!$A129,"")</f>
        <v/>
      </c>
      <c r="DZ1" s="2" t="str">
        <f>IF('emission sources'!$A130&lt;&gt;"",'emission sources'!$A130,"")</f>
        <v/>
      </c>
      <c r="EA1" s="2" t="str">
        <f>IF('emission sources'!$A131&lt;&gt;"",'emission sources'!$A131,"")</f>
        <v/>
      </c>
      <c r="EB1" s="2" t="str">
        <f>IF('emission sources'!$A132&lt;&gt;"",'emission sources'!$A132,"")</f>
        <v/>
      </c>
      <c r="EC1" s="2" t="str">
        <f>IF('emission sources'!$A133&lt;&gt;"",'emission sources'!$A133,"")</f>
        <v/>
      </c>
      <c r="ED1" s="2" t="str">
        <f>IF('emission sources'!$A134&lt;&gt;"",'emission sources'!$A134,"")</f>
        <v/>
      </c>
      <c r="EE1" s="2" t="str">
        <f>IF('emission sources'!$A135&lt;&gt;"",'emission sources'!$A135,"")</f>
        <v/>
      </c>
      <c r="EF1" s="2" t="str">
        <f>IF('emission sources'!$A136&lt;&gt;"",'emission sources'!$A136,"")</f>
        <v/>
      </c>
      <c r="EG1" s="2" t="str">
        <f>IF('emission sources'!$A137&lt;&gt;"",'emission sources'!$A137,"")</f>
        <v/>
      </c>
      <c r="EH1" s="2" t="str">
        <f>IF('emission sources'!$A138&lt;&gt;"",'emission sources'!$A138,"")</f>
        <v/>
      </c>
      <c r="EI1" s="2" t="str">
        <f>IF('emission sources'!$A139&lt;&gt;"",'emission sources'!$A139,"")</f>
        <v/>
      </c>
      <c r="EJ1" s="2" t="str">
        <f>IF('emission sources'!$A140&lt;&gt;"",'emission sources'!$A140,"")</f>
        <v/>
      </c>
      <c r="EK1" s="2" t="str">
        <f>IF('emission sources'!$A141&lt;&gt;"",'emission sources'!$A141,"")</f>
        <v/>
      </c>
      <c r="EL1" s="2" t="str">
        <f>IF('emission sources'!$A142&lt;&gt;"",'emission sources'!$A142,"")</f>
        <v/>
      </c>
      <c r="EM1" s="2" t="str">
        <f>IF('emission sources'!$A143&lt;&gt;"",'emission sources'!$A143,"")</f>
        <v/>
      </c>
      <c r="EN1" s="2" t="str">
        <f>IF('emission sources'!$A144&lt;&gt;"",'emission sources'!$A144,"")</f>
        <v/>
      </c>
      <c r="EO1" s="2" t="str">
        <f>IF('emission sources'!$A145&lt;&gt;"",'emission sources'!$A145,"")</f>
        <v/>
      </c>
      <c r="EP1" s="2" t="str">
        <f>IF('emission sources'!$A146&lt;&gt;"",'emission sources'!$A146,"")</f>
        <v/>
      </c>
      <c r="EQ1" s="2" t="str">
        <f>IF('emission sources'!$A147&lt;&gt;"",'emission sources'!$A147,"")</f>
        <v/>
      </c>
      <c r="ER1" s="2" t="str">
        <f>IF('emission sources'!$A148&lt;&gt;"",'emission sources'!$A148,"")</f>
        <v/>
      </c>
      <c r="ES1" s="2" t="str">
        <f>IF('emission sources'!$A149&lt;&gt;"",'emission sources'!$A149,"")</f>
        <v/>
      </c>
      <c r="ET1" s="2" t="str">
        <f>IF('emission sources'!$A150&lt;&gt;"",'emission sources'!$A150,"")</f>
        <v/>
      </c>
      <c r="EU1" s="2" t="str">
        <f>IF('emission sources'!$A151&lt;&gt;"",'emission sources'!$A151,"")</f>
        <v/>
      </c>
      <c r="EV1" s="2" t="str">
        <f>IF('emission sources'!$A152&lt;&gt;"",'emission sources'!$A152,"")</f>
        <v/>
      </c>
      <c r="EW1" s="2" t="str">
        <f>IF('emission sources'!$A153&lt;&gt;"",'emission sources'!$A153,"")</f>
        <v/>
      </c>
      <c r="EX1" s="2" t="str">
        <f>IF('emission sources'!$A154&lt;&gt;"",'emission sources'!$A154,"")</f>
        <v/>
      </c>
      <c r="EY1" s="2" t="str">
        <f>IF('emission sources'!$A155&lt;&gt;"",'emission sources'!$A155,"")</f>
        <v/>
      </c>
      <c r="EZ1" s="2" t="str">
        <f>IF('emission sources'!$A156&lt;&gt;"",'emission sources'!$A156,"")</f>
        <v/>
      </c>
      <c r="FA1" s="2" t="str">
        <f>IF('emission sources'!$A157&lt;&gt;"",'emission sources'!$A157,"")</f>
        <v/>
      </c>
      <c r="FB1" s="2" t="str">
        <f>IF('emission sources'!$A158&lt;&gt;"",'emission sources'!$A158,"")</f>
        <v/>
      </c>
      <c r="FC1" s="2" t="str">
        <f>IF('emission sources'!$A159&lt;&gt;"",'emission sources'!$A159,"")</f>
        <v/>
      </c>
      <c r="FD1" s="2" t="str">
        <f>IF('emission sources'!$A160&lt;&gt;"",'emission sources'!$A160,"")</f>
        <v/>
      </c>
      <c r="FE1" s="2" t="str">
        <f>IF('emission sources'!$A161&lt;&gt;"",'emission sources'!$A161,"")</f>
        <v/>
      </c>
      <c r="FF1" s="2" t="str">
        <f>IF('emission sources'!$A162&lt;&gt;"",'emission sources'!$A162,"")</f>
        <v/>
      </c>
      <c r="FG1" s="2" t="str">
        <f>IF('emission sources'!$A163&lt;&gt;"",'emission sources'!$A163,"")</f>
        <v/>
      </c>
      <c r="FH1" s="2" t="str">
        <f>IF('emission sources'!$A164&lt;&gt;"",'emission sources'!$A164,"")</f>
        <v/>
      </c>
      <c r="FI1" s="2" t="str">
        <f>IF('emission sources'!$A165&lt;&gt;"",'emission sources'!$A165,"")</f>
        <v/>
      </c>
      <c r="FJ1" s="2" t="str">
        <f>IF('emission sources'!$A166&lt;&gt;"",'emission sources'!$A166,"")</f>
        <v/>
      </c>
      <c r="FK1" s="2" t="str">
        <f>IF('emission sources'!$A167&lt;&gt;"",'emission sources'!$A167,"")</f>
        <v/>
      </c>
      <c r="FL1" s="2" t="str">
        <f>IF('emission sources'!$A168&lt;&gt;"",'emission sources'!$A168,"")</f>
        <v/>
      </c>
      <c r="FM1" s="2" t="str">
        <f>IF('emission sources'!$A169&lt;&gt;"",'emission sources'!$A169,"")</f>
        <v/>
      </c>
      <c r="FN1" s="2" t="str">
        <f>IF('emission sources'!$A170&lt;&gt;"",'emission sources'!$A170,"")</f>
        <v/>
      </c>
      <c r="FO1" s="2" t="str">
        <f>IF('emission sources'!$A171&lt;&gt;"",'emission sources'!$A171,"")</f>
        <v/>
      </c>
      <c r="FP1" s="2" t="str">
        <f>IF('emission sources'!$A172&lt;&gt;"",'emission sources'!$A172,"")</f>
        <v/>
      </c>
      <c r="FQ1" s="2" t="str">
        <f>IF('emission sources'!$A173&lt;&gt;"",'emission sources'!$A173,"")</f>
        <v/>
      </c>
      <c r="FR1" s="2" t="str">
        <f>IF('emission sources'!$A174&lt;&gt;"",'emission sources'!$A174,"")</f>
        <v/>
      </c>
      <c r="FS1" s="2" t="str">
        <f>IF('emission sources'!$A175&lt;&gt;"",'emission sources'!$A175,"")</f>
        <v/>
      </c>
      <c r="FT1" s="2" t="str">
        <f>IF('emission sources'!$A176&lt;&gt;"",'emission sources'!$A176,"")</f>
        <v/>
      </c>
      <c r="FU1" s="2" t="str">
        <f>IF('emission sources'!$A177&lt;&gt;"",'emission sources'!$A177,"")</f>
        <v/>
      </c>
      <c r="FV1" s="2" t="str">
        <f>IF('emission sources'!$A178&lt;&gt;"",'emission sources'!$A178,"")</f>
        <v/>
      </c>
      <c r="FW1" s="2" t="str">
        <f>IF('emission sources'!$A179&lt;&gt;"",'emission sources'!$A179,"")</f>
        <v/>
      </c>
      <c r="FX1" s="2" t="str">
        <f>IF('emission sources'!$A180&lt;&gt;"",'emission sources'!$A180,"")</f>
        <v/>
      </c>
      <c r="FY1" s="2" t="str">
        <f>IF('emission sources'!$A181&lt;&gt;"",'emission sources'!$A181,"")</f>
        <v/>
      </c>
      <c r="FZ1" s="2" t="str">
        <f>IF('emission sources'!$A182&lt;&gt;"",'emission sources'!$A182,"")</f>
        <v/>
      </c>
      <c r="GA1" s="2" t="str">
        <f>IF('emission sources'!$A183&lt;&gt;"",'emission sources'!$A183,"")</f>
        <v/>
      </c>
      <c r="GB1" s="2" t="str">
        <f>IF('emission sources'!$A184&lt;&gt;"",'emission sources'!$A184,"")</f>
        <v/>
      </c>
      <c r="GC1" s="2" t="str">
        <f>IF('emission sources'!$A185&lt;&gt;"",'emission sources'!$A185,"")</f>
        <v/>
      </c>
      <c r="GD1" s="2" t="str">
        <f>IF('emission sources'!$A186&lt;&gt;"",'emission sources'!$A186,"")</f>
        <v/>
      </c>
      <c r="GE1" s="2" t="str">
        <f>IF('emission sources'!$A187&lt;&gt;"",'emission sources'!$A187,"")</f>
        <v/>
      </c>
      <c r="GF1" s="2" t="str">
        <f>IF('emission sources'!$A188&lt;&gt;"",'emission sources'!$A188,"")</f>
        <v/>
      </c>
      <c r="GG1" s="2" t="str">
        <f>IF('emission sources'!$A189&lt;&gt;"",'emission sources'!$A189,"")</f>
        <v/>
      </c>
      <c r="GH1" s="2" t="str">
        <f>IF('emission sources'!$A190&lt;&gt;"",'emission sources'!$A190,"")</f>
        <v/>
      </c>
      <c r="GI1" s="2" t="str">
        <f>IF('emission sources'!$A191&lt;&gt;"",'emission sources'!$A191,"")</f>
        <v/>
      </c>
      <c r="GJ1" s="2" t="str">
        <f>IF('emission sources'!$A192&lt;&gt;"",'emission sources'!$A192,"")</f>
        <v/>
      </c>
      <c r="GK1" s="2" t="str">
        <f>IF('emission sources'!$A193&lt;&gt;"",'emission sources'!$A193,"")</f>
        <v/>
      </c>
      <c r="GL1" s="2" t="str">
        <f>IF('emission sources'!$A194&lt;&gt;"",'emission sources'!$A194,"")</f>
        <v/>
      </c>
      <c r="GM1" s="2" t="str">
        <f>IF('emission sources'!$A195&lt;&gt;"",'emission sources'!$A195,"")</f>
        <v/>
      </c>
      <c r="GN1" s="2" t="str">
        <f>IF('emission sources'!$A196&lt;&gt;"",'emission sources'!$A196,"")</f>
        <v/>
      </c>
      <c r="GO1" s="2" t="str">
        <f>IF('emission sources'!$A197&lt;&gt;"",'emission sources'!$A197,"")</f>
        <v/>
      </c>
      <c r="GP1" s="2" t="str">
        <f>IF('emission sources'!$A198&lt;&gt;"",'emission sources'!$A198,"")</f>
        <v/>
      </c>
      <c r="GQ1" s="2" t="str">
        <f>IF('emission sources'!$A199&lt;&gt;"",'emission sources'!$A199,"")</f>
        <v/>
      </c>
      <c r="GR1" s="2" t="str">
        <f>IF('emission sources'!$A200&lt;&gt;"",'emission sources'!$A200,"")</f>
        <v/>
      </c>
      <c r="GS1" s="2" t="str">
        <f>IF('emission sources'!$A201&lt;&gt;"",'emission sources'!$A201,"")</f>
        <v/>
      </c>
      <c r="GT1" s="2" t="str">
        <f>IF('emission sources'!$A202&lt;&gt;"",'emission sources'!$A202,"")</f>
        <v/>
      </c>
      <c r="GU1" s="2" t="str">
        <f>IF('emission sources'!$A203&lt;&gt;"",'emission sources'!$A203,"")</f>
        <v/>
      </c>
      <c r="GV1" s="2" t="str">
        <f>IF('emission sources'!$A204&lt;&gt;"",'emission sources'!$A204,"")</f>
        <v/>
      </c>
      <c r="GW1" s="2" t="str">
        <f>IF('emission sources'!$A205&lt;&gt;"",'emission sources'!$A205,"")</f>
        <v/>
      </c>
      <c r="GX1" s="2" t="str">
        <f>IF('emission sources'!$A206&lt;&gt;"",'emission sources'!$A206,"")</f>
        <v/>
      </c>
      <c r="GY1" s="2" t="str">
        <f>IF('emission sources'!$A207&lt;&gt;"",'emission sources'!$A207,"")</f>
        <v/>
      </c>
      <c r="GZ1" s="2" t="str">
        <f>IF('emission sources'!$A208&lt;&gt;"",'emission sources'!$A208,"")</f>
        <v/>
      </c>
      <c r="HA1" s="2" t="str">
        <f>IF('emission sources'!$A209&lt;&gt;"",'emission sources'!$A209,"")</f>
        <v/>
      </c>
      <c r="HB1" s="2" t="str">
        <f>IF('emission sources'!$A210&lt;&gt;"",'emission sources'!$A210,"")</f>
        <v/>
      </c>
      <c r="HC1" s="2" t="str">
        <f>IF('emission sources'!$A211&lt;&gt;"",'emission sources'!$A211,"")</f>
        <v/>
      </c>
      <c r="HD1" s="2" t="str">
        <f>IF('emission sources'!$A212&lt;&gt;"",'emission sources'!$A212,"")</f>
        <v/>
      </c>
      <c r="HE1" s="2" t="str">
        <f>IF('emission sources'!$A213&lt;&gt;"",'emission sources'!$A213,"")</f>
        <v/>
      </c>
      <c r="HF1" s="2" t="str">
        <f>IF('emission sources'!$A214&lt;&gt;"",'emission sources'!$A214,"")</f>
        <v/>
      </c>
      <c r="HG1" s="2" t="str">
        <f>IF('emission sources'!$A215&lt;&gt;"",'emission sources'!$A215,"")</f>
        <v/>
      </c>
      <c r="HH1" s="2" t="str">
        <f>IF('emission sources'!$A216&lt;&gt;"",'emission sources'!$A216,"")</f>
        <v/>
      </c>
      <c r="HI1" s="2" t="str">
        <f>IF('emission sources'!$A217&lt;&gt;"",'emission sources'!$A217,"")</f>
        <v/>
      </c>
      <c r="HJ1" s="2" t="str">
        <f>IF('emission sources'!$A218&lt;&gt;"",'emission sources'!$A218,"")</f>
        <v/>
      </c>
      <c r="HK1" s="2" t="str">
        <f>IF('emission sources'!$A219&lt;&gt;"",'emission sources'!$A219,"")</f>
        <v/>
      </c>
      <c r="HL1" s="2" t="str">
        <f>IF('emission sources'!$A220&lt;&gt;"",'emission sources'!$A220,"")</f>
        <v/>
      </c>
      <c r="HM1" s="2" t="str">
        <f>IF('emission sources'!$A221&lt;&gt;"",'emission sources'!$A221,"")</f>
        <v/>
      </c>
      <c r="HN1" s="2" t="str">
        <f>IF('emission sources'!$A222&lt;&gt;"",'emission sources'!$A222,"")</f>
        <v/>
      </c>
      <c r="HO1" s="2" t="str">
        <f>IF('emission sources'!$A223&lt;&gt;"",'emission sources'!$A223,"")</f>
        <v/>
      </c>
      <c r="HP1" s="2" t="str">
        <f>IF('emission sources'!$A224&lt;&gt;"",'emission sources'!$A224,"")</f>
        <v/>
      </c>
      <c r="HQ1" s="2" t="str">
        <f>IF('emission sources'!$A225&lt;&gt;"",'emission sources'!$A225,"")</f>
        <v/>
      </c>
      <c r="HR1" s="2" t="str">
        <f>IF('emission sources'!$A226&lt;&gt;"",'emission sources'!$A226,"")</f>
        <v/>
      </c>
      <c r="HS1" s="2" t="str">
        <f>IF('emission sources'!$A227&lt;&gt;"",'emission sources'!$A227,"")</f>
        <v/>
      </c>
      <c r="HT1" s="2" t="str">
        <f>IF('emission sources'!$A228&lt;&gt;"",'emission sources'!$A228,"")</f>
        <v/>
      </c>
      <c r="HU1" s="2" t="str">
        <f>IF('emission sources'!$A229&lt;&gt;"",'emission sources'!$A229,"")</f>
        <v/>
      </c>
      <c r="HV1" s="2" t="str">
        <f>IF('emission sources'!$A230&lt;&gt;"",'emission sources'!$A230,"")</f>
        <v/>
      </c>
      <c r="HW1" s="2" t="str">
        <f>IF('emission sources'!$A231&lt;&gt;"",'emission sources'!$A231,"")</f>
        <v/>
      </c>
      <c r="HX1" s="2" t="str">
        <f>IF('emission sources'!$A232&lt;&gt;"",'emission sources'!$A232,"")</f>
        <v/>
      </c>
      <c r="HY1" s="2" t="str">
        <f>IF('emission sources'!$A233&lt;&gt;"",'emission sources'!$A233,"")</f>
        <v/>
      </c>
      <c r="HZ1" s="2" t="str">
        <f>IF('emission sources'!$A234&lt;&gt;"",'emission sources'!$A234,"")</f>
        <v/>
      </c>
      <c r="IA1" s="2" t="str">
        <f>IF('emission sources'!$A235&lt;&gt;"",'emission sources'!$A235,"")</f>
        <v/>
      </c>
      <c r="IB1" s="2" t="str">
        <f>IF('emission sources'!$A236&lt;&gt;"",'emission sources'!$A236,"")</f>
        <v/>
      </c>
      <c r="IC1" s="2" t="str">
        <f>IF('emission sources'!$A237&lt;&gt;"",'emission sources'!$A237,"")</f>
        <v/>
      </c>
      <c r="ID1" s="2" t="str">
        <f>IF('emission sources'!$A238&lt;&gt;"",'emission sources'!$A238,"")</f>
        <v/>
      </c>
      <c r="IE1" s="2" t="str">
        <f>IF('emission sources'!$A239&lt;&gt;"",'emission sources'!$A239,"")</f>
        <v/>
      </c>
      <c r="IF1" s="2" t="str">
        <f>IF('emission sources'!$A240&lt;&gt;"",'emission sources'!$A240,"")</f>
        <v/>
      </c>
      <c r="IG1" s="2" t="str">
        <f>IF('emission sources'!$A241&lt;&gt;"",'emission sources'!$A241,"")</f>
        <v/>
      </c>
      <c r="IH1" s="2" t="str">
        <f>IF('emission sources'!$A242&lt;&gt;"",'emission sources'!$A242,"")</f>
        <v/>
      </c>
      <c r="II1" s="2" t="str">
        <f>IF('emission sources'!$A243&lt;&gt;"",'emission sources'!$A243,"")</f>
        <v/>
      </c>
      <c r="IJ1" s="2" t="str">
        <f>IF('emission sources'!$A244&lt;&gt;"",'emission sources'!$A244,"")</f>
        <v/>
      </c>
      <c r="IK1" s="2" t="str">
        <f>IF('emission sources'!$A245&lt;&gt;"",'emission sources'!$A245,"")</f>
        <v/>
      </c>
      <c r="IL1" s="2" t="str">
        <f>IF('emission sources'!$A246&lt;&gt;"",'emission sources'!$A246,"")</f>
        <v/>
      </c>
      <c r="IM1" s="2" t="str">
        <f>IF('emission sources'!$A247&lt;&gt;"",'emission sources'!$A247,"")</f>
        <v/>
      </c>
      <c r="IN1" s="2" t="str">
        <f>IF('emission sources'!$A248&lt;&gt;"",'emission sources'!$A248,"")</f>
        <v/>
      </c>
      <c r="IO1" s="2" t="str">
        <f>IF('emission sources'!$A249&lt;&gt;"",'emission sources'!$A249,"")</f>
        <v/>
      </c>
      <c r="IP1" s="2" t="str">
        <f>IF('emission sources'!$A250&lt;&gt;"",'emission sources'!$A250,"")</f>
        <v/>
      </c>
      <c r="IQ1" s="2" t="str">
        <f>IF('emission sources'!$A251&lt;&gt;"",'emission sources'!$A251,"")</f>
        <v/>
      </c>
      <c r="IR1" s="2" t="str">
        <f>IF('emission sources'!$A252&lt;&gt;"",'emission sources'!$A252,"")</f>
        <v/>
      </c>
      <c r="IS1" s="2" t="str">
        <f>IF('emission sources'!$A253&lt;&gt;"",'emission sources'!$A253,"")</f>
        <v/>
      </c>
      <c r="IT1" s="2" t="str">
        <f>IF('emission sources'!$A254&lt;&gt;"",'emission sources'!$A254,"")</f>
        <v/>
      </c>
      <c r="IU1" s="2" t="str">
        <f>IF('emission sources'!$A255&lt;&gt;"",'emission sources'!$A255,"")</f>
        <v/>
      </c>
      <c r="IV1" s="2" t="str">
        <f>IF('emission sources'!$A256&lt;&gt;"",'emission sources'!$A256,"")</f>
        <v/>
      </c>
      <c r="IW1" s="2" t="str">
        <f>IF('emission sources'!$A257&lt;&gt;"",'emission sources'!$A257,"")</f>
        <v/>
      </c>
      <c r="IX1" s="2" t="str">
        <f>IF('emission sources'!$A258&lt;&gt;"",'emission sources'!$A258,"")</f>
        <v/>
      </c>
      <c r="IY1" s="2" t="str">
        <f>IF('emission sources'!$A259&lt;&gt;"",'emission sources'!$A259,"")</f>
        <v/>
      </c>
      <c r="IZ1" s="2" t="str">
        <f>IF('emission sources'!$A260&lt;&gt;"",'emission sources'!$A260,"")</f>
        <v/>
      </c>
      <c r="JA1" s="2" t="str">
        <f>IF('emission sources'!$A261&lt;&gt;"",'emission sources'!$A261,"")</f>
        <v/>
      </c>
      <c r="JB1" s="2" t="str">
        <f>IF('emission sources'!$A262&lt;&gt;"",'emission sources'!$A262,"")</f>
        <v/>
      </c>
      <c r="JC1" s="2" t="str">
        <f>IF('emission sources'!$A263&lt;&gt;"",'emission sources'!$A263,"")</f>
        <v/>
      </c>
      <c r="JD1" s="2" t="str">
        <f>IF('emission sources'!$A264&lt;&gt;"",'emission sources'!$A264,"")</f>
        <v/>
      </c>
      <c r="JE1" s="2" t="str">
        <f>IF('emission sources'!$A265&lt;&gt;"",'emission sources'!$A265,"")</f>
        <v/>
      </c>
      <c r="JF1" s="2" t="str">
        <f>IF('emission sources'!$A266&lt;&gt;"",'emission sources'!$A266,"")</f>
        <v/>
      </c>
      <c r="JG1" s="2" t="str">
        <f>IF('emission sources'!$A267&lt;&gt;"",'emission sources'!$A267,"")</f>
        <v/>
      </c>
      <c r="JH1" s="2" t="str">
        <f>IF('emission sources'!$A268&lt;&gt;"",'emission sources'!$A268,"")</f>
        <v/>
      </c>
      <c r="JI1" s="2" t="str">
        <f>IF('emission sources'!$A269&lt;&gt;"",'emission sources'!$A269,"")</f>
        <v/>
      </c>
      <c r="JJ1" s="2" t="str">
        <f>IF('emission sources'!$A270&lt;&gt;"",'emission sources'!$A270,"")</f>
        <v/>
      </c>
      <c r="JK1" s="2" t="str">
        <f>IF('emission sources'!$A271&lt;&gt;"",'emission sources'!$A271,"")</f>
        <v/>
      </c>
      <c r="JL1" s="2" t="str">
        <f>IF('emission sources'!$A272&lt;&gt;"",'emission sources'!$A272,"")</f>
        <v/>
      </c>
      <c r="JM1" s="2" t="str">
        <f>IF('emission sources'!$A273&lt;&gt;"",'emission sources'!$A273,"")</f>
        <v/>
      </c>
      <c r="JN1" s="2" t="str">
        <f>IF('emission sources'!$A274&lt;&gt;"",'emission sources'!$A274,"")</f>
        <v/>
      </c>
      <c r="JO1" s="2" t="str">
        <f>IF('emission sources'!$A275&lt;&gt;"",'emission sources'!$A275,"")</f>
        <v/>
      </c>
      <c r="JP1" s="2" t="str">
        <f>IF('emission sources'!$A276&lt;&gt;"",'emission sources'!$A276,"")</f>
        <v/>
      </c>
      <c r="JQ1" s="2" t="str">
        <f>IF('emission sources'!$A277&lt;&gt;"",'emission sources'!$A277,"")</f>
        <v/>
      </c>
      <c r="JR1" s="2" t="str">
        <f>IF('emission sources'!$A278&lt;&gt;"",'emission sources'!$A278,"")</f>
        <v/>
      </c>
      <c r="JS1" s="2" t="str">
        <f>IF('emission sources'!$A279&lt;&gt;"",'emission sources'!$A279,"")</f>
        <v/>
      </c>
      <c r="JT1" s="2" t="str">
        <f>IF('emission sources'!$A280&lt;&gt;"",'emission sources'!$A280,"")</f>
        <v/>
      </c>
      <c r="JU1" s="2" t="str">
        <f>IF('emission sources'!$A281&lt;&gt;"",'emission sources'!$A281,"")</f>
        <v/>
      </c>
      <c r="JV1" s="2" t="str">
        <f>IF('emission sources'!$A282&lt;&gt;"",'emission sources'!$A282,"")</f>
        <v/>
      </c>
      <c r="JW1" s="2" t="str">
        <f>IF('emission sources'!$A283&lt;&gt;"",'emission sources'!$A283,"")</f>
        <v/>
      </c>
      <c r="JX1" s="2" t="str">
        <f>IF('emission sources'!$A284&lt;&gt;"",'emission sources'!$A284,"")</f>
        <v/>
      </c>
      <c r="JY1" s="2" t="str">
        <f>IF('emission sources'!$A285&lt;&gt;"",'emission sources'!$A285,"")</f>
        <v/>
      </c>
      <c r="JZ1" s="2" t="str">
        <f>IF('emission sources'!$A286&lt;&gt;"",'emission sources'!$A286,"")</f>
        <v/>
      </c>
      <c r="KA1" s="2" t="str">
        <f>IF('emission sources'!$A287&lt;&gt;"",'emission sources'!$A287,"")</f>
        <v/>
      </c>
      <c r="KB1" s="2" t="str">
        <f>IF('emission sources'!$A288&lt;&gt;"",'emission sources'!$A288,"")</f>
        <v/>
      </c>
    </row>
    <row r="2" spans="1:288" x14ac:dyDescent="0.35">
      <c r="A2" s="2" t="str">
        <f>IF(facility!$A2&lt;&gt;"",facility!$A2,"")</f>
        <v>Mt_Darwin</v>
      </c>
      <c r="B2">
        <v>30926.500000000004</v>
      </c>
      <c r="C2">
        <v>8434.5</v>
      </c>
      <c r="D2">
        <v>16869</v>
      </c>
      <c r="E2">
        <v>8720</v>
      </c>
      <c r="F2">
        <v>47900</v>
      </c>
      <c r="G2">
        <v>170</v>
      </c>
      <c r="H2">
        <v>4130</v>
      </c>
      <c r="I2">
        <v>19350</v>
      </c>
      <c r="J2">
        <v>4840</v>
      </c>
      <c r="K2">
        <v>7460</v>
      </c>
      <c r="L2">
        <v>1308</v>
      </c>
    </row>
    <row r="3" spans="1:288" x14ac:dyDescent="0.35">
      <c r="A3" s="2" t="str">
        <f>IF(facility!$A3&lt;&gt;"",facility!$A3,"")</f>
        <v/>
      </c>
    </row>
    <row r="4" spans="1:288" x14ac:dyDescent="0.35">
      <c r="A4" s="2" t="str">
        <f>IF(facility!$A4&lt;&gt;"",facility!$A4,"")</f>
        <v/>
      </c>
    </row>
    <row r="5" spans="1:288" x14ac:dyDescent="0.35">
      <c r="A5" s="2" t="str">
        <f>IF(facility!$A5&lt;&gt;"",facility!$A5,"")</f>
        <v/>
      </c>
    </row>
    <row r="6" spans="1:288" x14ac:dyDescent="0.35">
      <c r="A6" s="2" t="str">
        <f>IF(facility!$A6&lt;&gt;"",facility!$A6,"")</f>
        <v/>
      </c>
    </row>
    <row r="7" spans="1:288" x14ac:dyDescent="0.35">
      <c r="A7" s="2" t="str">
        <f>IF(facility!$A7&lt;&gt;"",facility!$A7,"")</f>
        <v/>
      </c>
    </row>
    <row r="8" spans="1:288" x14ac:dyDescent="0.35">
      <c r="A8" s="2" t="str">
        <f>IF(facility!$A8&lt;&gt;"",facility!$A8,"")</f>
        <v/>
      </c>
    </row>
    <row r="9" spans="1:288" x14ac:dyDescent="0.35">
      <c r="A9" s="2" t="str">
        <f>IF(facility!$A9&lt;&gt;"",facility!$A9,"")</f>
        <v/>
      </c>
    </row>
    <row r="10" spans="1:288" x14ac:dyDescent="0.35">
      <c r="A10" s="2" t="str">
        <f>IF(facility!$A10&lt;&gt;"",facility!$A10,"")</f>
        <v/>
      </c>
    </row>
    <row r="11" spans="1:288" x14ac:dyDescent="0.35">
      <c r="A11" s="2" t="str">
        <f>IF(facility!$A11&lt;&gt;"",facility!$A11,"")</f>
        <v/>
      </c>
    </row>
    <row r="12" spans="1:288" x14ac:dyDescent="0.35">
      <c r="A12" s="2" t="str">
        <f>IF(facility!$A12&lt;&gt;"",facility!$A12,"")</f>
        <v/>
      </c>
    </row>
    <row r="13" spans="1:288" x14ac:dyDescent="0.35">
      <c r="A13" s="2" t="str">
        <f>IF(facility!$A13&lt;&gt;"",facility!$A13,"")</f>
        <v/>
      </c>
    </row>
    <row r="14" spans="1:288" x14ac:dyDescent="0.35">
      <c r="A14" s="2" t="str">
        <f>IF(facility!$A14&lt;&gt;"",facility!$A14,"")</f>
        <v/>
      </c>
    </row>
    <row r="15" spans="1:288" x14ac:dyDescent="0.35">
      <c r="A15" s="2" t="str">
        <f>IF(facility!$A15&lt;&gt;"",facility!$A15,"")</f>
        <v/>
      </c>
    </row>
    <row r="16" spans="1:288" x14ac:dyDescent="0.35">
      <c r="A16" s="2" t="str">
        <f>IF(facility!$A16&lt;&gt;"",facility!$A16,"")</f>
        <v/>
      </c>
    </row>
    <row r="17" spans="1:2" x14ac:dyDescent="0.35">
      <c r="A17" s="2" t="str">
        <f>IF(facility!$A17&lt;&gt;"",facility!$A17,"")</f>
        <v/>
      </c>
    </row>
    <row r="18" spans="1:2" x14ac:dyDescent="0.35">
      <c r="A18" s="2" t="str">
        <f>IF(facility!$A18&lt;&gt;"",facility!$A18,"")</f>
        <v/>
      </c>
    </row>
    <row r="19" spans="1:2" x14ac:dyDescent="0.35">
      <c r="A19" s="2" t="str">
        <f>IF(facility!$A19&lt;&gt;"",facility!$A19,"")</f>
        <v/>
      </c>
    </row>
    <row r="20" spans="1:2" x14ac:dyDescent="0.35">
      <c r="A20" s="2" t="str">
        <f>IF(facility!$A31&lt;&gt;"",facility!$A31,"")</f>
        <v/>
      </c>
    </row>
    <row r="21" spans="1:2" x14ac:dyDescent="0.35">
      <c r="A21" s="2" t="str">
        <f>IF(facility!$A32&lt;&gt;"",facility!$A32,"")</f>
        <v/>
      </c>
      <c r="B21" t="str">
        <f>IF('emission sources'!$A12&lt;&gt;"",'emission sources'!$A12,"")</f>
        <v>Contactor_logistics</v>
      </c>
    </row>
    <row r="22" spans="1:2" x14ac:dyDescent="0.35">
      <c r="A22" s="2" t="str">
        <f>IF(facility!$A33&lt;&gt;"",facility!$A33,"")</f>
        <v/>
      </c>
      <c r="B22" t="str">
        <f>IF('emission sources'!$A13&lt;&gt;"",'emission sources'!$A13,"")</f>
        <v/>
      </c>
    </row>
    <row r="23" spans="1:2" x14ac:dyDescent="0.35">
      <c r="A23" s="2" t="str">
        <f>IF(facility!$A34&lt;&gt;"",facility!$A34,"")</f>
        <v/>
      </c>
      <c r="B23" t="str">
        <f>IF('emission sources'!$A14&lt;&gt;"",'emission sources'!$A14,"")</f>
        <v/>
      </c>
    </row>
    <row r="24" spans="1:2" x14ac:dyDescent="0.35">
      <c r="A24" s="2" t="str">
        <f>IF(facility!$A35&lt;&gt;"",facility!$A35,"")</f>
        <v/>
      </c>
      <c r="B24" t="str">
        <f>IF('emission sources'!$A15&lt;&gt;"",'emission sources'!$A15,"")</f>
        <v/>
      </c>
    </row>
    <row r="25" spans="1:2" x14ac:dyDescent="0.35">
      <c r="A25" s="2" t="str">
        <f>IF(facility!$A36&lt;&gt;"",facility!$A36,"")</f>
        <v/>
      </c>
      <c r="B25" t="str">
        <f>IF('emission sources'!$A16&lt;&gt;"",'emission sources'!$A16,"")</f>
        <v/>
      </c>
    </row>
    <row r="26" spans="1:2" x14ac:dyDescent="0.35">
      <c r="A26" s="2" t="str">
        <f>IF(facility!$A37&lt;&gt;"",facility!$A37,"")</f>
        <v/>
      </c>
      <c r="B26" t="str">
        <f>IF('emission sources'!$A17&lt;&gt;"",'emission sources'!$A17,"")</f>
        <v/>
      </c>
    </row>
    <row r="27" spans="1:2" x14ac:dyDescent="0.35">
      <c r="A27" s="2" t="str">
        <f>IF(facility!$A38&lt;&gt;"",facility!$A38,"")</f>
        <v/>
      </c>
      <c r="B27" t="str">
        <f>IF('emission sources'!$A18&lt;&gt;"",'emission sources'!$A18,"")</f>
        <v/>
      </c>
    </row>
    <row r="28" spans="1:2" x14ac:dyDescent="0.35">
      <c r="A28" s="2" t="str">
        <f>IF(facility!$A39&lt;&gt;"",facility!$A39,"")</f>
        <v/>
      </c>
      <c r="B28" t="str">
        <f>IF('emission sources'!$A19&lt;&gt;"",'emission sources'!$A19,"")</f>
        <v/>
      </c>
    </row>
    <row r="29" spans="1:2" x14ac:dyDescent="0.35">
      <c r="A29" s="2" t="str">
        <f>IF(facility!$A40&lt;&gt;"",facility!$A40,"")</f>
        <v/>
      </c>
      <c r="B29" t="str">
        <f>IF('emission sources'!$A20&lt;&gt;"",'emission sources'!$A20,"")</f>
        <v/>
      </c>
    </row>
    <row r="30" spans="1:2" x14ac:dyDescent="0.35">
      <c r="A30" s="2" t="str">
        <f>IF(facility!$A41&lt;&gt;"",facility!$A41,"")</f>
        <v/>
      </c>
      <c r="B30" t="str">
        <f>IF('emission sources'!$A21&lt;&gt;"",'emission sources'!$A21,"")</f>
        <v/>
      </c>
    </row>
    <row r="31" spans="1:2" x14ac:dyDescent="0.35">
      <c r="A31" s="2" t="str">
        <f>IF(facility!$A42&lt;&gt;"",facility!$A42,"")</f>
        <v/>
      </c>
      <c r="B31" t="str">
        <f>IF('emission sources'!$A22&lt;&gt;"",'emission sources'!$A22,"")</f>
        <v/>
      </c>
    </row>
    <row r="32" spans="1:2" x14ac:dyDescent="0.35">
      <c r="A32" s="2" t="str">
        <f>IF(facility!$A43&lt;&gt;"",facility!$A43,"")</f>
        <v/>
      </c>
      <c r="B32" t="str">
        <f>IF('emission sources'!$A23&lt;&gt;"",'emission sources'!$A23,"")</f>
        <v/>
      </c>
    </row>
    <row r="33" spans="1:2" x14ac:dyDescent="0.35">
      <c r="A33" s="2" t="str">
        <f>IF(facility!$A44&lt;&gt;"",facility!$A44,"")</f>
        <v/>
      </c>
      <c r="B33" t="str">
        <f>IF('emission sources'!$A24&lt;&gt;"",'emission sources'!$A24,"")</f>
        <v/>
      </c>
    </row>
    <row r="34" spans="1:2" x14ac:dyDescent="0.35">
      <c r="A34" s="2" t="str">
        <f>IF(facility!$A45&lt;&gt;"",facility!$A45,"")</f>
        <v/>
      </c>
      <c r="B34" t="str">
        <f>IF('emission sources'!$A25&lt;&gt;"",'emission sources'!$A25,"")</f>
        <v/>
      </c>
    </row>
    <row r="35" spans="1:2" x14ac:dyDescent="0.35">
      <c r="A35" s="2" t="str">
        <f>IF(facility!$A46&lt;&gt;"",facility!$A46,"")</f>
        <v/>
      </c>
      <c r="B35" t="str">
        <f>IF('emission sources'!$A26&lt;&gt;"",'emission sources'!$A26,"")</f>
        <v/>
      </c>
    </row>
    <row r="36" spans="1:2" x14ac:dyDescent="0.35">
      <c r="A36" s="2" t="str">
        <f>IF(facility!$A47&lt;&gt;"",facility!$A47,"")</f>
        <v/>
      </c>
      <c r="B36" t="str">
        <f>IF('emission sources'!$A27&lt;&gt;"",'emission sources'!$A27,"")</f>
        <v/>
      </c>
    </row>
    <row r="37" spans="1:2" x14ac:dyDescent="0.35">
      <c r="A37" s="2" t="str">
        <f>IF(facility!$A48&lt;&gt;"",facility!$A48,"")</f>
        <v/>
      </c>
      <c r="B37" t="str">
        <f>IF('emission sources'!$A28&lt;&gt;"",'emission sources'!$A28,"")</f>
        <v/>
      </c>
    </row>
    <row r="38" spans="1:2" x14ac:dyDescent="0.35">
      <c r="A38" s="2" t="str">
        <f>IF(facility!$A49&lt;&gt;"",facility!$A49,"")</f>
        <v/>
      </c>
      <c r="B38" t="str">
        <f>IF('emission sources'!$A29&lt;&gt;"",'emission sources'!$A29,"")</f>
        <v/>
      </c>
    </row>
    <row r="39" spans="1:2" x14ac:dyDescent="0.35">
      <c r="A39" s="2" t="str">
        <f>IF(facility!$A50&lt;&gt;"",facility!$A50,"")</f>
        <v/>
      </c>
      <c r="B39" t="str">
        <f>IF('emission sources'!$A30&lt;&gt;"",'emission sources'!$A30,"")</f>
        <v/>
      </c>
    </row>
    <row r="40" spans="1:2" x14ac:dyDescent="0.35">
      <c r="A40" s="2" t="str">
        <f>IF(facility!$A51&lt;&gt;"",facility!$A51,"")</f>
        <v/>
      </c>
      <c r="B40" t="str">
        <f>IF('emission sources'!$A31&lt;&gt;"",'emission sources'!$A31,"")</f>
        <v/>
      </c>
    </row>
    <row r="41" spans="1:2" x14ac:dyDescent="0.35">
      <c r="A41" s="2" t="str">
        <f>IF(facility!$A52&lt;&gt;"",facility!$A52,"")</f>
        <v/>
      </c>
      <c r="B41" t="str">
        <f>IF('emission sources'!$A32&lt;&gt;"",'emission sources'!$A32,"")</f>
        <v/>
      </c>
    </row>
    <row r="42" spans="1:2" x14ac:dyDescent="0.35">
      <c r="A42" s="2" t="str">
        <f>IF(facility!$A53&lt;&gt;"",facility!$A53,"")</f>
        <v/>
      </c>
      <c r="B42" t="str">
        <f>IF('emission sources'!$A33&lt;&gt;"",'emission sources'!$A33,"")</f>
        <v/>
      </c>
    </row>
    <row r="43" spans="1:2" x14ac:dyDescent="0.35">
      <c r="A43" s="2" t="str">
        <f>IF(facility!$A54&lt;&gt;"",facility!$A54,"")</f>
        <v/>
      </c>
      <c r="B43" t="str">
        <f>IF('emission sources'!$A34&lt;&gt;"",'emission sources'!$A34,"")</f>
        <v/>
      </c>
    </row>
    <row r="44" spans="1:2" x14ac:dyDescent="0.35">
      <c r="A44" s="2" t="str">
        <f>IF(facility!$A55&lt;&gt;"",facility!$A55,"")</f>
        <v/>
      </c>
      <c r="B44" t="str">
        <f>IF('emission sources'!$A35&lt;&gt;"",'emission sources'!$A35,"")</f>
        <v/>
      </c>
    </row>
    <row r="45" spans="1:2" x14ac:dyDescent="0.35">
      <c r="A45" s="2" t="str">
        <f>IF(facility!$A56&lt;&gt;"",facility!$A56,"")</f>
        <v/>
      </c>
      <c r="B45" t="str">
        <f>IF('emission sources'!$A36&lt;&gt;"",'emission sources'!$A36,"")</f>
        <v/>
      </c>
    </row>
    <row r="46" spans="1:2" x14ac:dyDescent="0.35">
      <c r="A46" s="2" t="str">
        <f>IF(facility!$A57&lt;&gt;"",facility!$A57,"")</f>
        <v/>
      </c>
      <c r="B46" t="str">
        <f>IF('emission sources'!$A37&lt;&gt;"",'emission sources'!$A37,"")</f>
        <v/>
      </c>
    </row>
    <row r="47" spans="1:2" x14ac:dyDescent="0.35">
      <c r="A47" s="2" t="str">
        <f>IF(facility!$A58&lt;&gt;"",facility!$A58,"")</f>
        <v/>
      </c>
      <c r="B47" t="str">
        <f>IF('emission sources'!$A38&lt;&gt;"",'emission sources'!$A38,"")</f>
        <v/>
      </c>
    </row>
    <row r="48" spans="1:2" x14ac:dyDescent="0.35">
      <c r="A48" s="2" t="str">
        <f>IF(facility!$A59&lt;&gt;"",facility!$A59,"")</f>
        <v/>
      </c>
      <c r="B48" t="str">
        <f>IF('emission sources'!$A39&lt;&gt;"",'emission sources'!$A39,"")</f>
        <v/>
      </c>
    </row>
    <row r="49" spans="1:2" x14ac:dyDescent="0.35">
      <c r="A49" s="2" t="str">
        <f>IF(facility!$A60&lt;&gt;"",facility!$A60,"")</f>
        <v/>
      </c>
      <c r="B49" t="str">
        <f>IF('emission sources'!$A40&lt;&gt;"",'emission sources'!$A40,"")</f>
        <v/>
      </c>
    </row>
    <row r="50" spans="1:2" x14ac:dyDescent="0.35">
      <c r="A50" s="2" t="str">
        <f>IF(facility!$A61&lt;&gt;"",facility!$A61,"")</f>
        <v/>
      </c>
      <c r="B50" t="str">
        <f>IF('emission sources'!$A41&lt;&gt;"",'emission sources'!$A41,"")</f>
        <v/>
      </c>
    </row>
    <row r="51" spans="1:2" x14ac:dyDescent="0.35">
      <c r="A51" s="2" t="str">
        <f>IF(facility!$A62&lt;&gt;"",facility!$A62,"")</f>
        <v/>
      </c>
      <c r="B51" t="str">
        <f>IF('emission sources'!$A42&lt;&gt;"",'emission sources'!$A42,"")</f>
        <v/>
      </c>
    </row>
    <row r="52" spans="1:2" x14ac:dyDescent="0.35">
      <c r="A52" s="2" t="str">
        <f>IF(facility!$A63&lt;&gt;"",facility!$A63,"")</f>
        <v/>
      </c>
      <c r="B52" t="str">
        <f>IF('emission sources'!$A43&lt;&gt;"",'emission sources'!$A43,"")</f>
        <v/>
      </c>
    </row>
    <row r="53" spans="1:2" x14ac:dyDescent="0.35">
      <c r="A53" s="2" t="str">
        <f>IF(facility!$A64&lt;&gt;"",facility!$A64,"")</f>
        <v/>
      </c>
      <c r="B53" t="str">
        <f>IF('emission sources'!$A44&lt;&gt;"",'emission sources'!$A44,"")</f>
        <v/>
      </c>
    </row>
    <row r="54" spans="1:2" x14ac:dyDescent="0.35">
      <c r="A54" s="2" t="str">
        <f>IF(facility!$A65&lt;&gt;"",facility!$A65,"")</f>
        <v/>
      </c>
      <c r="B54" t="str">
        <f>IF('emission sources'!$A45&lt;&gt;"",'emission sources'!$A45,"")</f>
        <v/>
      </c>
    </row>
    <row r="55" spans="1:2" x14ac:dyDescent="0.35">
      <c r="A55" s="2" t="str">
        <f>IF(facility!$A66&lt;&gt;"",facility!$A66,"")</f>
        <v/>
      </c>
      <c r="B55" t="str">
        <f>IF('emission sources'!$A46&lt;&gt;"",'emission sources'!$A46,"")</f>
        <v/>
      </c>
    </row>
    <row r="56" spans="1:2" x14ac:dyDescent="0.35">
      <c r="A56" s="2" t="str">
        <f>IF(facility!$A67&lt;&gt;"",facility!$A67,"")</f>
        <v/>
      </c>
      <c r="B56" t="str">
        <f>IF('emission sources'!$A47&lt;&gt;"",'emission sources'!$A47,"")</f>
        <v/>
      </c>
    </row>
    <row r="57" spans="1:2" x14ac:dyDescent="0.35">
      <c r="A57" s="2" t="str">
        <f>IF(facility!$A68&lt;&gt;"",facility!$A68,"")</f>
        <v/>
      </c>
      <c r="B57" t="str">
        <f>IF('emission sources'!$A48&lt;&gt;"",'emission sources'!$A48,"")</f>
        <v/>
      </c>
    </row>
    <row r="58" spans="1:2" x14ac:dyDescent="0.35">
      <c r="A58" s="2" t="str">
        <f>IF(facility!$A69&lt;&gt;"",facility!$A69,"")</f>
        <v/>
      </c>
      <c r="B58" t="str">
        <f>IF('emission sources'!$A49&lt;&gt;"",'emission sources'!$A49,"")</f>
        <v/>
      </c>
    </row>
    <row r="59" spans="1:2" x14ac:dyDescent="0.35">
      <c r="A59" s="2" t="str">
        <f>IF(facility!$A70&lt;&gt;"",facility!$A70,"")</f>
        <v/>
      </c>
      <c r="B59" t="str">
        <f>IF('emission sources'!$A50&lt;&gt;"",'emission sources'!$A50,"")</f>
        <v/>
      </c>
    </row>
    <row r="60" spans="1:2" x14ac:dyDescent="0.35">
      <c r="A60" s="2" t="str">
        <f>IF(facility!$A71&lt;&gt;"",facility!$A71,"")</f>
        <v/>
      </c>
      <c r="B60" t="str">
        <f>IF('emission sources'!$A51&lt;&gt;"",'emission sources'!$A51,"")</f>
        <v/>
      </c>
    </row>
    <row r="61" spans="1:2" x14ac:dyDescent="0.35">
      <c r="A61" s="2" t="str">
        <f>IF(facility!$A72&lt;&gt;"",facility!$A72,"")</f>
        <v/>
      </c>
      <c r="B61" t="str">
        <f>IF('emission sources'!$A52&lt;&gt;"",'emission sources'!$A52,"")</f>
        <v/>
      </c>
    </row>
    <row r="62" spans="1:2" x14ac:dyDescent="0.35">
      <c r="A62" s="2" t="str">
        <f>IF(facility!$A73&lt;&gt;"",facility!$A73,"")</f>
        <v/>
      </c>
      <c r="B62" t="str">
        <f>IF('emission sources'!$A53&lt;&gt;"",'emission sources'!$A53,"")</f>
        <v/>
      </c>
    </row>
    <row r="63" spans="1:2" x14ac:dyDescent="0.35">
      <c r="A63" s="2" t="str">
        <f>IF(facility!$A74&lt;&gt;"",facility!$A74,"")</f>
        <v/>
      </c>
      <c r="B63" t="str">
        <f>IF('emission sources'!$A54&lt;&gt;"",'emission sources'!$A54,"")</f>
        <v/>
      </c>
    </row>
    <row r="64" spans="1:2" x14ac:dyDescent="0.35">
      <c r="A64" s="2" t="str">
        <f>IF(facility!$A75&lt;&gt;"",facility!$A75,"")</f>
        <v/>
      </c>
      <c r="B64" t="str">
        <f>IF('emission sources'!$A55&lt;&gt;"",'emission sources'!$A55,"")</f>
        <v/>
      </c>
    </row>
    <row r="65" spans="1:2" x14ac:dyDescent="0.35">
      <c r="A65" s="2" t="str">
        <f>IF(facility!$A76&lt;&gt;"",facility!$A76,"")</f>
        <v/>
      </c>
      <c r="B65" t="str">
        <f>IF('emission sources'!$A56&lt;&gt;"",'emission sources'!$A56,"")</f>
        <v/>
      </c>
    </row>
    <row r="66" spans="1:2" x14ac:dyDescent="0.35">
      <c r="A66" s="2" t="str">
        <f>IF(facility!$A77&lt;&gt;"",facility!$A77,"")</f>
        <v/>
      </c>
      <c r="B66" t="str">
        <f>IF('emission sources'!$A57&lt;&gt;"",'emission sources'!$A57,"")</f>
        <v/>
      </c>
    </row>
    <row r="67" spans="1:2" x14ac:dyDescent="0.35">
      <c r="A67" s="2" t="str">
        <f>IF(facility!$A78&lt;&gt;"",facility!$A78,"")</f>
        <v/>
      </c>
      <c r="B67" t="str">
        <f>IF('emission sources'!$A58&lt;&gt;"",'emission sources'!$A58,"")</f>
        <v/>
      </c>
    </row>
    <row r="68" spans="1:2" x14ac:dyDescent="0.35">
      <c r="A68" s="2" t="str">
        <f>IF(facility!$A79&lt;&gt;"",facility!$A79,"")</f>
        <v/>
      </c>
      <c r="B68" t="str">
        <f>IF('emission sources'!$A59&lt;&gt;"",'emission sources'!$A59,"")</f>
        <v/>
      </c>
    </row>
    <row r="69" spans="1:2" x14ac:dyDescent="0.35">
      <c r="A69" s="2" t="str">
        <f>IF(facility!$A80&lt;&gt;"",facility!$A80,"")</f>
        <v/>
      </c>
      <c r="B69" t="str">
        <f>IF('emission sources'!$A60&lt;&gt;"",'emission sources'!$A60,"")</f>
        <v/>
      </c>
    </row>
    <row r="70" spans="1:2" x14ac:dyDescent="0.35">
      <c r="A70" s="2" t="str">
        <f>IF(facility!$A81&lt;&gt;"",facility!$A81,"")</f>
        <v/>
      </c>
      <c r="B70" t="str">
        <f>IF('emission sources'!$A61&lt;&gt;"",'emission sources'!$A61,"")</f>
        <v/>
      </c>
    </row>
    <row r="71" spans="1:2" x14ac:dyDescent="0.35">
      <c r="A71" s="2" t="str">
        <f>IF(facility!$A82&lt;&gt;"",facility!$A82,"")</f>
        <v/>
      </c>
      <c r="B71" t="str">
        <f>IF('emission sources'!$A62&lt;&gt;"",'emission sources'!$A62,"")</f>
        <v/>
      </c>
    </row>
    <row r="72" spans="1:2" x14ac:dyDescent="0.35">
      <c r="A72" s="2" t="str">
        <f>IF(facility!$A83&lt;&gt;"",facility!$A83,"")</f>
        <v/>
      </c>
      <c r="B72" t="str">
        <f>IF('emission sources'!$A63&lt;&gt;"",'emission sources'!$A63,"")</f>
        <v/>
      </c>
    </row>
    <row r="73" spans="1:2" x14ac:dyDescent="0.35">
      <c r="A73" s="2" t="str">
        <f>IF(facility!$A84&lt;&gt;"",facility!$A84,"")</f>
        <v/>
      </c>
      <c r="B73" t="str">
        <f>IF('emission sources'!$A64&lt;&gt;"",'emission sources'!$A64,"")</f>
        <v/>
      </c>
    </row>
    <row r="74" spans="1:2" x14ac:dyDescent="0.35">
      <c r="A74" s="2" t="str">
        <f>IF(facility!$A85&lt;&gt;"",facility!$A85,"")</f>
        <v/>
      </c>
      <c r="B74" t="str">
        <f>IF('emission sources'!$A65&lt;&gt;"",'emission sources'!$A65,"")</f>
        <v/>
      </c>
    </row>
    <row r="75" spans="1:2" x14ac:dyDescent="0.35">
      <c r="A75" s="2" t="str">
        <f>IF(facility!$A86&lt;&gt;"",facility!$A86,"")</f>
        <v/>
      </c>
      <c r="B75" t="str">
        <f>IF('emission sources'!$A66&lt;&gt;"",'emission sources'!$A66,"")</f>
        <v/>
      </c>
    </row>
    <row r="76" spans="1:2" x14ac:dyDescent="0.35">
      <c r="A76" s="2" t="str">
        <f>IF(facility!$A87&lt;&gt;"",facility!$A87,"")</f>
        <v/>
      </c>
      <c r="B76" t="str">
        <f>IF('emission sources'!$A67&lt;&gt;"",'emission sources'!$A67,"")</f>
        <v/>
      </c>
    </row>
    <row r="77" spans="1:2" x14ac:dyDescent="0.35">
      <c r="A77" s="2" t="str">
        <f>IF(facility!$A88&lt;&gt;"",facility!$A88,"")</f>
        <v/>
      </c>
      <c r="B77" t="str">
        <f>IF('emission sources'!$A68&lt;&gt;"",'emission sources'!$A68,"")</f>
        <v/>
      </c>
    </row>
    <row r="78" spans="1:2" x14ac:dyDescent="0.35">
      <c r="A78" s="2" t="str">
        <f>IF(facility!$A89&lt;&gt;"",facility!$A89,"")</f>
        <v/>
      </c>
      <c r="B78" t="str">
        <f>IF('emission sources'!$A69&lt;&gt;"",'emission sources'!$A69,"")</f>
        <v/>
      </c>
    </row>
    <row r="79" spans="1:2" x14ac:dyDescent="0.35">
      <c r="A79" s="2" t="str">
        <f>IF(facility!$A90&lt;&gt;"",facility!$A90,"")</f>
        <v/>
      </c>
      <c r="B79" t="str">
        <f>IF('emission sources'!$A70&lt;&gt;"",'emission sources'!$A70,"")</f>
        <v/>
      </c>
    </row>
    <row r="80" spans="1:2" x14ac:dyDescent="0.35">
      <c r="A80" s="2" t="str">
        <f>IF(facility!$A91&lt;&gt;"",facility!$A91,"")</f>
        <v/>
      </c>
      <c r="B80" t="str">
        <f>IF('emission sources'!$A71&lt;&gt;"",'emission sources'!$A71,"")</f>
        <v/>
      </c>
    </row>
    <row r="81" spans="1:2" x14ac:dyDescent="0.35">
      <c r="A81" s="2" t="str">
        <f>IF(facility!$A92&lt;&gt;"",facility!$A92,"")</f>
        <v/>
      </c>
      <c r="B81" t="str">
        <f>IF('emission sources'!$A72&lt;&gt;"",'emission sources'!$A72,"")</f>
        <v/>
      </c>
    </row>
    <row r="82" spans="1:2" x14ac:dyDescent="0.35">
      <c r="A82" s="2" t="str">
        <f>IF(facility!$A93&lt;&gt;"",facility!$A93,"")</f>
        <v/>
      </c>
      <c r="B82" t="str">
        <f>IF('emission sources'!$A73&lt;&gt;"",'emission sources'!$A73,"")</f>
        <v/>
      </c>
    </row>
    <row r="83" spans="1:2" x14ac:dyDescent="0.35">
      <c r="A83" s="2" t="str">
        <f>IF(facility!$A94&lt;&gt;"",facility!$A94,"")</f>
        <v/>
      </c>
      <c r="B83" t="str">
        <f>IF('emission sources'!$A74&lt;&gt;"",'emission sources'!$A74,"")</f>
        <v/>
      </c>
    </row>
    <row r="84" spans="1:2" x14ac:dyDescent="0.35">
      <c r="A84" s="2" t="str">
        <f>IF(facility!$A95&lt;&gt;"",facility!$A95,"")</f>
        <v/>
      </c>
      <c r="B84" t="str">
        <f>IF('emission sources'!$A75&lt;&gt;"",'emission sources'!$A75,"")</f>
        <v/>
      </c>
    </row>
    <row r="85" spans="1:2" x14ac:dyDescent="0.35">
      <c r="A85" s="2" t="str">
        <f>IF(facility!$A96&lt;&gt;"",facility!$A96,"")</f>
        <v/>
      </c>
      <c r="B85" t="str">
        <f>IF('emission sources'!$A76&lt;&gt;"",'emission sources'!$A76,"")</f>
        <v/>
      </c>
    </row>
    <row r="86" spans="1:2" x14ac:dyDescent="0.35">
      <c r="A86" s="2" t="str">
        <f>IF(facility!$A97&lt;&gt;"",facility!$A97,"")</f>
        <v/>
      </c>
      <c r="B86" t="str">
        <f>IF('emission sources'!$A77&lt;&gt;"",'emission sources'!$A77,"")</f>
        <v/>
      </c>
    </row>
    <row r="87" spans="1:2" x14ac:dyDescent="0.35">
      <c r="A87" s="2" t="str">
        <f>IF(facility!$A98&lt;&gt;"",facility!$A98,"")</f>
        <v/>
      </c>
      <c r="B87" t="str">
        <f>IF('emission sources'!$A78&lt;&gt;"",'emission sources'!$A78,"")</f>
        <v/>
      </c>
    </row>
    <row r="88" spans="1:2" x14ac:dyDescent="0.35">
      <c r="A88" s="2" t="str">
        <f>IF(facility!$A99&lt;&gt;"",facility!$A99,"")</f>
        <v/>
      </c>
      <c r="B88" t="str">
        <f>IF('emission sources'!$A79&lt;&gt;"",'emission sources'!$A79,"")</f>
        <v/>
      </c>
    </row>
    <row r="89" spans="1:2" x14ac:dyDescent="0.35">
      <c r="A89" s="2" t="str">
        <f>IF(facility!$A100&lt;&gt;"",facility!$A100,"")</f>
        <v/>
      </c>
      <c r="B89" t="str">
        <f>IF('emission sources'!$A80&lt;&gt;"",'emission sources'!$A80,"")</f>
        <v/>
      </c>
    </row>
    <row r="90" spans="1:2" x14ac:dyDescent="0.35">
      <c r="A90" s="2" t="str">
        <f>IF(facility!$A101&lt;&gt;"",facility!$A101,"")</f>
        <v/>
      </c>
      <c r="B90" t="str">
        <f>IF('emission sources'!$A81&lt;&gt;"",'emission sources'!$A81,"")</f>
        <v/>
      </c>
    </row>
    <row r="91" spans="1:2" x14ac:dyDescent="0.35">
      <c r="A91" s="2" t="str">
        <f>IF(facility!$A102&lt;&gt;"",facility!$A102,"")</f>
        <v/>
      </c>
      <c r="B91" t="str">
        <f>IF('emission sources'!$A82&lt;&gt;"",'emission sources'!$A82,"")</f>
        <v/>
      </c>
    </row>
    <row r="92" spans="1:2" x14ac:dyDescent="0.35">
      <c r="A92" s="2" t="str">
        <f>IF(facility!$A103&lt;&gt;"",facility!$A103,"")</f>
        <v/>
      </c>
      <c r="B92" t="str">
        <f>IF('emission sources'!$A83&lt;&gt;"",'emission sources'!$A83,"")</f>
        <v/>
      </c>
    </row>
    <row r="93" spans="1:2" x14ac:dyDescent="0.35">
      <c r="A93" s="2" t="str">
        <f>IF(facility!$A104&lt;&gt;"",facility!$A104,"")</f>
        <v/>
      </c>
      <c r="B93" t="str">
        <f>IF('emission sources'!$A84&lt;&gt;"",'emission sources'!$A84,"")</f>
        <v/>
      </c>
    </row>
    <row r="94" spans="1:2" x14ac:dyDescent="0.35">
      <c r="A94" s="2" t="str">
        <f>IF(facility!$A105&lt;&gt;"",facility!$A105,"")</f>
        <v/>
      </c>
      <c r="B94" t="str">
        <f>IF('emission sources'!$A85&lt;&gt;"",'emission sources'!$A85,"")</f>
        <v/>
      </c>
    </row>
    <row r="95" spans="1:2" x14ac:dyDescent="0.35">
      <c r="A95" s="2" t="str">
        <f>IF(facility!$A106&lt;&gt;"",facility!$A106,"")</f>
        <v/>
      </c>
      <c r="B95" t="str">
        <f>IF('emission sources'!$A86&lt;&gt;"",'emission sources'!$A86,"")</f>
        <v/>
      </c>
    </row>
    <row r="96" spans="1:2" x14ac:dyDescent="0.35">
      <c r="A96" s="2" t="str">
        <f>IF(facility!$A107&lt;&gt;"",facility!$A107,"")</f>
        <v/>
      </c>
      <c r="B96" t="str">
        <f>IF('emission sources'!$A87&lt;&gt;"",'emission sources'!$A87,"")</f>
        <v/>
      </c>
    </row>
    <row r="97" spans="1:2" x14ac:dyDescent="0.35">
      <c r="A97" s="2" t="str">
        <f>IF(facility!$A108&lt;&gt;"",facility!$A108,"")</f>
        <v/>
      </c>
      <c r="B97" t="str">
        <f>IF('emission sources'!$A88&lt;&gt;"",'emission sources'!$A88,"")</f>
        <v/>
      </c>
    </row>
    <row r="98" spans="1:2" x14ac:dyDescent="0.35">
      <c r="A98" s="2" t="str">
        <f>IF(facility!$A109&lt;&gt;"",facility!$A109,"")</f>
        <v/>
      </c>
      <c r="B98" t="str">
        <f>IF('emission sources'!$A89&lt;&gt;"",'emission sources'!$A89,"")</f>
        <v/>
      </c>
    </row>
    <row r="99" spans="1:2" x14ac:dyDescent="0.35">
      <c r="A99" s="2" t="str">
        <f>IF(facility!$A110&lt;&gt;"",facility!$A110,"")</f>
        <v/>
      </c>
      <c r="B99" t="str">
        <f>IF('emission sources'!$A90&lt;&gt;"",'emission sources'!$A90,"")</f>
        <v/>
      </c>
    </row>
    <row r="100" spans="1:2" x14ac:dyDescent="0.35">
      <c r="A100" s="2" t="str">
        <f>IF(facility!$A111&lt;&gt;"",facility!$A111,"")</f>
        <v/>
      </c>
      <c r="B100" t="str">
        <f>IF('emission sources'!$A91&lt;&gt;"",'emission sources'!$A91,"")</f>
        <v/>
      </c>
    </row>
    <row r="101" spans="1:2" x14ac:dyDescent="0.35">
      <c r="A101" s="2" t="str">
        <f>IF(facility!$A112&lt;&gt;"",facility!$A112,"")</f>
        <v/>
      </c>
      <c r="B101" t="str">
        <f>IF('emission sources'!$A92&lt;&gt;"",'emission sources'!$A92,"")</f>
        <v/>
      </c>
    </row>
    <row r="102" spans="1:2" x14ac:dyDescent="0.35">
      <c r="A102" s="2" t="str">
        <f>IF(facility!$A113&lt;&gt;"",facility!$A113,"")</f>
        <v/>
      </c>
      <c r="B102" t="str">
        <f>IF('emission sources'!$A93&lt;&gt;"",'emission sources'!$A93,"")</f>
        <v/>
      </c>
    </row>
    <row r="103" spans="1:2" x14ac:dyDescent="0.35">
      <c r="A103" s="2" t="str">
        <f>IF(facility!$A114&lt;&gt;"",facility!$A114,"")</f>
        <v/>
      </c>
      <c r="B103" t="str">
        <f>IF('emission sources'!$A94&lt;&gt;"",'emission sources'!$A94,"")</f>
        <v/>
      </c>
    </row>
    <row r="104" spans="1:2" x14ac:dyDescent="0.35">
      <c r="A104" s="2" t="str">
        <f>IF(facility!$A115&lt;&gt;"",facility!$A115,"")</f>
        <v/>
      </c>
      <c r="B104" t="str">
        <f>IF('emission sources'!$A95&lt;&gt;"",'emission sources'!$A95,"")</f>
        <v/>
      </c>
    </row>
    <row r="105" spans="1:2" x14ac:dyDescent="0.35">
      <c r="A105" s="2" t="str">
        <f>IF(facility!$A116&lt;&gt;"",facility!$A116,"")</f>
        <v/>
      </c>
      <c r="B105" t="str">
        <f>IF('emission sources'!$A96&lt;&gt;"",'emission sources'!$A96,"")</f>
        <v/>
      </c>
    </row>
    <row r="106" spans="1:2" x14ac:dyDescent="0.35">
      <c r="A106" s="2" t="str">
        <f>IF(facility!$A117&lt;&gt;"",facility!$A117,"")</f>
        <v/>
      </c>
      <c r="B106" t="str">
        <f>IF('emission sources'!$A97&lt;&gt;"",'emission sources'!$A97,"")</f>
        <v/>
      </c>
    </row>
    <row r="107" spans="1:2" x14ac:dyDescent="0.35">
      <c r="A107" s="2" t="str">
        <f>IF(facility!$A118&lt;&gt;"",facility!$A118,"")</f>
        <v/>
      </c>
      <c r="B107" t="str">
        <f>IF('emission sources'!$A98&lt;&gt;"",'emission sources'!$A98,"")</f>
        <v/>
      </c>
    </row>
    <row r="108" spans="1:2" x14ac:dyDescent="0.35">
      <c r="A108" s="2" t="str">
        <f>IF(facility!$A119&lt;&gt;"",facility!$A119,"")</f>
        <v/>
      </c>
      <c r="B108" t="str">
        <f>IF('emission sources'!$A99&lt;&gt;"",'emission sources'!$A99,"")</f>
        <v/>
      </c>
    </row>
    <row r="109" spans="1:2" x14ac:dyDescent="0.35">
      <c r="A109" s="2" t="str">
        <f>IF(facility!$A120&lt;&gt;"",facility!$A120,"")</f>
        <v/>
      </c>
      <c r="B109" t="str">
        <f>IF('emission sources'!$A100&lt;&gt;"",'emission sources'!$A100,"")</f>
        <v/>
      </c>
    </row>
    <row r="110" spans="1:2" x14ac:dyDescent="0.35">
      <c r="A110" s="2" t="str">
        <f>IF(facility!$A121&lt;&gt;"",facility!$A121,"")</f>
        <v/>
      </c>
      <c r="B110" t="str">
        <f>IF('emission sources'!$A101&lt;&gt;"",'emission sources'!$A101,"")</f>
        <v/>
      </c>
    </row>
    <row r="111" spans="1:2" x14ac:dyDescent="0.35">
      <c r="A111" s="2" t="str">
        <f>IF(facility!$A122&lt;&gt;"",facility!$A122,"")</f>
        <v/>
      </c>
      <c r="B111" t="str">
        <f>IF('emission sources'!$A102&lt;&gt;"",'emission sources'!$A102,"")</f>
        <v/>
      </c>
    </row>
    <row r="112" spans="1:2" x14ac:dyDescent="0.35">
      <c r="A112" s="2" t="str">
        <f>IF(facility!$A123&lt;&gt;"",facility!$A123,"")</f>
        <v/>
      </c>
      <c r="B112" t="str">
        <f>IF('emission sources'!$A103&lt;&gt;"",'emission sources'!$A103,"")</f>
        <v/>
      </c>
    </row>
    <row r="113" spans="1:2" x14ac:dyDescent="0.35">
      <c r="A113" s="2" t="str">
        <f>IF(facility!$A124&lt;&gt;"",facility!$A124,"")</f>
        <v/>
      </c>
      <c r="B113" t="str">
        <f>IF('emission sources'!$A104&lt;&gt;"",'emission sources'!$A104,"")</f>
        <v/>
      </c>
    </row>
    <row r="114" spans="1:2" x14ac:dyDescent="0.35">
      <c r="A114" s="2" t="str">
        <f>IF(facility!$A125&lt;&gt;"",facility!$A125,"")</f>
        <v/>
      </c>
      <c r="B114" t="str">
        <f>IF('emission sources'!$A105&lt;&gt;"",'emission sources'!$A105,"")</f>
        <v/>
      </c>
    </row>
    <row r="115" spans="1:2" x14ac:dyDescent="0.35">
      <c r="A115" s="2" t="str">
        <f>IF(facility!$A126&lt;&gt;"",facility!$A126,"")</f>
        <v/>
      </c>
      <c r="B115" t="str">
        <f>IF('emission sources'!$A106&lt;&gt;"",'emission sources'!$A106,"")</f>
        <v/>
      </c>
    </row>
    <row r="116" spans="1:2" x14ac:dyDescent="0.35">
      <c r="A116" s="2" t="str">
        <f>IF(facility!$A127&lt;&gt;"",facility!$A127,"")</f>
        <v/>
      </c>
      <c r="B116" t="str">
        <f>IF('emission sources'!$A107&lt;&gt;"",'emission sources'!$A107,"")</f>
        <v/>
      </c>
    </row>
    <row r="117" spans="1:2" x14ac:dyDescent="0.35">
      <c r="A117" s="2" t="str">
        <f>IF(facility!$A128&lt;&gt;"",facility!$A128,"")</f>
        <v/>
      </c>
      <c r="B117" t="str">
        <f>IF('emission sources'!$A108&lt;&gt;"",'emission sources'!$A108,"")</f>
        <v/>
      </c>
    </row>
    <row r="118" spans="1:2" x14ac:dyDescent="0.35">
      <c r="A118" s="2" t="str">
        <f>IF(facility!$A129&lt;&gt;"",facility!$A129,"")</f>
        <v/>
      </c>
      <c r="B118" t="str">
        <f>IF('emission sources'!$A109&lt;&gt;"",'emission sources'!$A109,"")</f>
        <v/>
      </c>
    </row>
    <row r="119" spans="1:2" x14ac:dyDescent="0.35">
      <c r="A119" s="2" t="str">
        <f>IF(facility!$A130&lt;&gt;"",facility!$A130,"")</f>
        <v/>
      </c>
      <c r="B119" t="str">
        <f>IF('emission sources'!$A110&lt;&gt;"",'emission sources'!$A110,"")</f>
        <v/>
      </c>
    </row>
    <row r="120" spans="1:2" x14ac:dyDescent="0.35">
      <c r="A120" s="2" t="str">
        <f>IF(facility!$A131&lt;&gt;"",facility!$A131,"")</f>
        <v/>
      </c>
      <c r="B120" t="str">
        <f>IF('emission sources'!$A111&lt;&gt;"",'emission sources'!$A111,"")</f>
        <v/>
      </c>
    </row>
    <row r="121" spans="1:2" x14ac:dyDescent="0.35">
      <c r="A121" s="2" t="str">
        <f>IF(facility!$A132&lt;&gt;"",facility!$A132,"")</f>
        <v/>
      </c>
      <c r="B121" t="str">
        <f>IF('emission sources'!$A112&lt;&gt;"",'emission sources'!$A112,"")</f>
        <v/>
      </c>
    </row>
    <row r="122" spans="1:2" x14ac:dyDescent="0.35">
      <c r="A122" s="2" t="str">
        <f>IF(facility!$A133&lt;&gt;"",facility!$A133,"")</f>
        <v/>
      </c>
      <c r="B122" t="str">
        <f>IF('emission sources'!$A113&lt;&gt;"",'emission sources'!$A113,"")</f>
        <v/>
      </c>
    </row>
    <row r="123" spans="1:2" x14ac:dyDescent="0.35">
      <c r="A123" s="2" t="str">
        <f>IF(facility!$A134&lt;&gt;"",facility!$A134,"")</f>
        <v/>
      </c>
      <c r="B123" t="str">
        <f>IF('emission sources'!$A114&lt;&gt;"",'emission sources'!$A114,"")</f>
        <v/>
      </c>
    </row>
    <row r="124" spans="1:2" x14ac:dyDescent="0.35">
      <c r="A124" s="2" t="str">
        <f>IF(facility!$A135&lt;&gt;"",facility!$A135,"")</f>
        <v/>
      </c>
      <c r="B124" t="str">
        <f>IF('emission sources'!$A115&lt;&gt;"",'emission sources'!$A115,"")</f>
        <v/>
      </c>
    </row>
    <row r="125" spans="1:2" x14ac:dyDescent="0.35">
      <c r="A125" s="2" t="str">
        <f>IF(facility!$A136&lt;&gt;"",facility!$A136,"")</f>
        <v/>
      </c>
      <c r="B125" t="str">
        <f>IF('emission sources'!$A116&lt;&gt;"",'emission sources'!$A116,"")</f>
        <v/>
      </c>
    </row>
    <row r="126" spans="1:2" x14ac:dyDescent="0.35">
      <c r="A126" s="2" t="str">
        <f>IF(facility!$A137&lt;&gt;"",facility!$A137,"")</f>
        <v/>
      </c>
      <c r="B126" t="str">
        <f>IF('emission sources'!$A117&lt;&gt;"",'emission sources'!$A117,"")</f>
        <v/>
      </c>
    </row>
    <row r="127" spans="1:2" x14ac:dyDescent="0.35">
      <c r="A127" s="2" t="str">
        <f>IF(facility!$A138&lt;&gt;"",facility!$A138,"")</f>
        <v/>
      </c>
      <c r="B127" t="str">
        <f>IF('emission sources'!$A118&lt;&gt;"",'emission sources'!$A118,"")</f>
        <v/>
      </c>
    </row>
    <row r="128" spans="1:2" x14ac:dyDescent="0.35">
      <c r="A128" s="2" t="str">
        <f>IF(facility!$A139&lt;&gt;"",facility!$A139,"")</f>
        <v/>
      </c>
      <c r="B128" t="str">
        <f>IF('emission sources'!$A119&lt;&gt;"",'emission sources'!$A119,"")</f>
        <v/>
      </c>
    </row>
    <row r="129" spans="1:2" x14ac:dyDescent="0.35">
      <c r="A129" s="2" t="str">
        <f>IF(facility!$A140&lt;&gt;"",facility!$A140,"")</f>
        <v/>
      </c>
      <c r="B129" t="str">
        <f>IF('emission sources'!$A120&lt;&gt;"",'emission sources'!$A120,"")</f>
        <v/>
      </c>
    </row>
    <row r="130" spans="1:2" x14ac:dyDescent="0.35">
      <c r="A130" s="2" t="str">
        <f>IF(facility!$A141&lt;&gt;"",facility!$A141,"")</f>
        <v/>
      </c>
      <c r="B130" t="str">
        <f>IF('emission sources'!$A121&lt;&gt;"",'emission sources'!$A121,"")</f>
        <v/>
      </c>
    </row>
    <row r="131" spans="1:2" x14ac:dyDescent="0.35">
      <c r="A131" s="2" t="str">
        <f>IF(facility!$A142&lt;&gt;"",facility!$A142,"")</f>
        <v/>
      </c>
      <c r="B131" t="str">
        <f>IF('emission sources'!$A122&lt;&gt;"",'emission sources'!$A122,"")</f>
        <v/>
      </c>
    </row>
    <row r="132" spans="1:2" x14ac:dyDescent="0.35">
      <c r="A132" s="2" t="str">
        <f>IF(facility!$A143&lt;&gt;"",facility!$A143,"")</f>
        <v/>
      </c>
      <c r="B132" t="str">
        <f>IF('emission sources'!$A123&lt;&gt;"",'emission sources'!$A123,"")</f>
        <v/>
      </c>
    </row>
    <row r="133" spans="1:2" x14ac:dyDescent="0.35">
      <c r="A133" s="2" t="str">
        <f>IF(facility!$A144&lt;&gt;"",facility!$A144,"")</f>
        <v/>
      </c>
      <c r="B133" t="str">
        <f>IF('emission sources'!$A124&lt;&gt;"",'emission sources'!$A124,"")</f>
        <v/>
      </c>
    </row>
    <row r="134" spans="1:2" x14ac:dyDescent="0.35">
      <c r="A134" s="2" t="str">
        <f>IF(facility!$A145&lt;&gt;"",facility!$A145,"")</f>
        <v/>
      </c>
      <c r="B134" t="str">
        <f>IF('emission sources'!$A125&lt;&gt;"",'emission sources'!$A125,"")</f>
        <v/>
      </c>
    </row>
    <row r="135" spans="1:2" x14ac:dyDescent="0.35">
      <c r="A135" s="2" t="str">
        <f>IF(facility!$A146&lt;&gt;"",facility!$A146,"")</f>
        <v/>
      </c>
      <c r="B135" t="str">
        <f>IF('emission sources'!$A126&lt;&gt;"",'emission sources'!$A126,"")</f>
        <v/>
      </c>
    </row>
    <row r="136" spans="1:2" x14ac:dyDescent="0.35">
      <c r="A136" s="2" t="str">
        <f>IF(facility!$A147&lt;&gt;"",facility!$A147,"")</f>
        <v/>
      </c>
      <c r="B136" t="str">
        <f>IF('emission sources'!$A127&lt;&gt;"",'emission sources'!$A127,"")</f>
        <v/>
      </c>
    </row>
    <row r="137" spans="1:2" x14ac:dyDescent="0.35">
      <c r="A137" s="2" t="str">
        <f>IF(facility!$A148&lt;&gt;"",facility!$A148,"")</f>
        <v/>
      </c>
      <c r="B137" t="str">
        <f>IF('emission sources'!$A128&lt;&gt;"",'emission sources'!$A128,"")</f>
        <v/>
      </c>
    </row>
    <row r="138" spans="1:2" x14ac:dyDescent="0.35">
      <c r="A138" s="2" t="str">
        <f>IF(facility!$A149&lt;&gt;"",facility!$A149,"")</f>
        <v/>
      </c>
      <c r="B138" t="str">
        <f>IF('emission sources'!$A129&lt;&gt;"",'emission sources'!$A129,"")</f>
        <v/>
      </c>
    </row>
    <row r="139" spans="1:2" x14ac:dyDescent="0.35">
      <c r="A139" s="2" t="str">
        <f>IF(facility!$A150&lt;&gt;"",facility!$A150,"")</f>
        <v/>
      </c>
      <c r="B139" t="str">
        <f>IF('emission sources'!$A130&lt;&gt;"",'emission sources'!$A130,"")</f>
        <v/>
      </c>
    </row>
    <row r="140" spans="1:2" x14ac:dyDescent="0.35">
      <c r="A140" s="2" t="str">
        <f>IF(facility!$A151&lt;&gt;"",facility!$A151,"")</f>
        <v/>
      </c>
      <c r="B140" t="str">
        <f>IF('emission sources'!$A131&lt;&gt;"",'emission sources'!$A131,"")</f>
        <v/>
      </c>
    </row>
    <row r="141" spans="1:2" x14ac:dyDescent="0.35">
      <c r="A141" s="2" t="str">
        <f>IF(facility!$A152&lt;&gt;"",facility!$A152,"")</f>
        <v/>
      </c>
      <c r="B141" t="str">
        <f>IF('emission sources'!$A132&lt;&gt;"",'emission sources'!$A132,"")</f>
        <v/>
      </c>
    </row>
    <row r="142" spans="1:2" x14ac:dyDescent="0.35">
      <c r="A142" s="2" t="str">
        <f>IF(facility!$A153&lt;&gt;"",facility!$A153,"")</f>
        <v/>
      </c>
      <c r="B142" t="str">
        <f>IF('emission sources'!$A133&lt;&gt;"",'emission sources'!$A133,"")</f>
        <v/>
      </c>
    </row>
    <row r="143" spans="1:2" x14ac:dyDescent="0.35">
      <c r="A143" s="2" t="str">
        <f>IF(facility!$A154&lt;&gt;"",facility!$A154,"")</f>
        <v/>
      </c>
      <c r="B143" t="str">
        <f>IF('emission sources'!$A134&lt;&gt;"",'emission sources'!$A134,"")</f>
        <v/>
      </c>
    </row>
    <row r="144" spans="1:2" x14ac:dyDescent="0.35">
      <c r="A144" s="2" t="str">
        <f>IF(facility!$A155&lt;&gt;"",facility!$A155,"")</f>
        <v/>
      </c>
      <c r="B144" t="str">
        <f>IF('emission sources'!$A135&lt;&gt;"",'emission sources'!$A135,"")</f>
        <v/>
      </c>
    </row>
    <row r="145" spans="1:2" x14ac:dyDescent="0.35">
      <c r="A145" s="2" t="str">
        <f>IF(facility!$A156&lt;&gt;"",facility!$A156,"")</f>
        <v/>
      </c>
      <c r="B145" t="str">
        <f>IF('emission sources'!$A136&lt;&gt;"",'emission sources'!$A136,"")</f>
        <v/>
      </c>
    </row>
    <row r="146" spans="1:2" x14ac:dyDescent="0.35">
      <c r="A146" s="2" t="str">
        <f>IF(facility!$A157&lt;&gt;"",facility!$A157,"")</f>
        <v/>
      </c>
      <c r="B146" t="str">
        <f>IF('emission sources'!$A137&lt;&gt;"",'emission sources'!$A137,"")</f>
        <v/>
      </c>
    </row>
    <row r="147" spans="1:2" x14ac:dyDescent="0.35">
      <c r="A147" s="2" t="str">
        <f>IF(facility!$A158&lt;&gt;"",facility!$A158,"")</f>
        <v/>
      </c>
      <c r="B147" t="str">
        <f>IF('emission sources'!$A138&lt;&gt;"",'emission sources'!$A138,"")</f>
        <v/>
      </c>
    </row>
    <row r="148" spans="1:2" x14ac:dyDescent="0.35">
      <c r="A148" s="2" t="str">
        <f>IF(facility!$A159&lt;&gt;"",facility!$A159,"")</f>
        <v/>
      </c>
      <c r="B148" t="str">
        <f>IF('emission sources'!$A139&lt;&gt;"",'emission sources'!$A139,"")</f>
        <v/>
      </c>
    </row>
    <row r="149" spans="1:2" x14ac:dyDescent="0.35">
      <c r="A149" s="2" t="str">
        <f>IF(facility!$A160&lt;&gt;"",facility!$A160,"")</f>
        <v/>
      </c>
      <c r="B149" t="str">
        <f>IF('emission sources'!$A140&lt;&gt;"",'emission sources'!$A140,"")</f>
        <v/>
      </c>
    </row>
    <row r="150" spans="1:2" x14ac:dyDescent="0.35">
      <c r="A150" s="2" t="str">
        <f>IF(facility!$A161&lt;&gt;"",facility!$A161,"")</f>
        <v/>
      </c>
      <c r="B150" t="str">
        <f>IF('emission sources'!$A141&lt;&gt;"",'emission sources'!$A141,"")</f>
        <v/>
      </c>
    </row>
    <row r="151" spans="1:2" x14ac:dyDescent="0.35">
      <c r="A151" s="2" t="str">
        <f>IF(facility!$A162&lt;&gt;"",facility!$A162,"")</f>
        <v/>
      </c>
      <c r="B151" t="str">
        <f>IF('emission sources'!$A142&lt;&gt;"",'emission sources'!$A142,"")</f>
        <v/>
      </c>
    </row>
    <row r="152" spans="1:2" x14ac:dyDescent="0.35">
      <c r="A152" s="2" t="str">
        <f>IF(facility!$A163&lt;&gt;"",facility!$A163,"")</f>
        <v/>
      </c>
      <c r="B152" t="str">
        <f>IF('emission sources'!$A143&lt;&gt;"",'emission sources'!$A143,"")</f>
        <v/>
      </c>
    </row>
    <row r="153" spans="1:2" x14ac:dyDescent="0.35">
      <c r="A153" s="2" t="str">
        <f>IF(facility!$A164&lt;&gt;"",facility!$A164,"")</f>
        <v/>
      </c>
      <c r="B153" t="str">
        <f>IF('emission sources'!$A144&lt;&gt;"",'emission sources'!$A144,"")</f>
        <v/>
      </c>
    </row>
    <row r="154" spans="1:2" x14ac:dyDescent="0.35">
      <c r="A154" s="2" t="str">
        <f>IF(facility!$A165&lt;&gt;"",facility!$A165,"")</f>
        <v/>
      </c>
      <c r="B154" t="str">
        <f>IF('emission sources'!$A145&lt;&gt;"",'emission sources'!$A145,"")</f>
        <v/>
      </c>
    </row>
    <row r="155" spans="1:2" x14ac:dyDescent="0.35">
      <c r="A155" s="2" t="str">
        <f>IF(facility!$A166&lt;&gt;"",facility!$A166,"")</f>
        <v/>
      </c>
      <c r="B155" t="str">
        <f>IF('emission sources'!$A146&lt;&gt;"",'emission sources'!$A146,"")</f>
        <v/>
      </c>
    </row>
    <row r="156" spans="1:2" x14ac:dyDescent="0.35">
      <c r="A156" s="2" t="str">
        <f>IF(facility!$A167&lt;&gt;"",facility!$A167,"")</f>
        <v/>
      </c>
      <c r="B156" t="str">
        <f>IF('emission sources'!$A147&lt;&gt;"",'emission sources'!$A147,"")</f>
        <v/>
      </c>
    </row>
    <row r="157" spans="1:2" x14ac:dyDescent="0.35">
      <c r="A157" s="2" t="str">
        <f>IF(facility!$A168&lt;&gt;"",facility!$A168,"")</f>
        <v/>
      </c>
      <c r="B157" t="str">
        <f>IF('emission sources'!$A148&lt;&gt;"",'emission sources'!$A148,"")</f>
        <v/>
      </c>
    </row>
    <row r="158" spans="1:2" x14ac:dyDescent="0.35">
      <c r="A158" s="2" t="str">
        <f>IF(facility!$A169&lt;&gt;"",facility!$A169,"")</f>
        <v/>
      </c>
      <c r="B158" t="str">
        <f>IF('emission sources'!$A149&lt;&gt;"",'emission sources'!$A149,"")</f>
        <v/>
      </c>
    </row>
    <row r="159" spans="1:2" x14ac:dyDescent="0.35">
      <c r="A159" s="2" t="str">
        <f>IF(facility!$A170&lt;&gt;"",facility!$A170,"")</f>
        <v/>
      </c>
      <c r="B159" t="str">
        <f>IF('emission sources'!$A150&lt;&gt;"",'emission sources'!$A150,"")</f>
        <v/>
      </c>
    </row>
    <row r="160" spans="1:2" x14ac:dyDescent="0.35">
      <c r="A160" s="2" t="str">
        <f>IF(facility!$A171&lt;&gt;"",facility!$A171,"")</f>
        <v/>
      </c>
      <c r="B160" t="str">
        <f>IF('emission sources'!$A151&lt;&gt;"",'emission sources'!$A151,"")</f>
        <v/>
      </c>
    </row>
    <row r="161" spans="1:2" x14ac:dyDescent="0.35">
      <c r="A161" s="2" t="str">
        <f>IF(facility!$A172&lt;&gt;"",facility!$A172,"")</f>
        <v/>
      </c>
      <c r="B161" t="str">
        <f>IF('emission sources'!$A152&lt;&gt;"",'emission sources'!$A152,"")</f>
        <v/>
      </c>
    </row>
    <row r="162" spans="1:2" x14ac:dyDescent="0.35">
      <c r="A162" s="2" t="str">
        <f>IF(facility!$A173&lt;&gt;"",facility!$A173,"")</f>
        <v/>
      </c>
      <c r="B162" t="str">
        <f>IF('emission sources'!$A153&lt;&gt;"",'emission sources'!$A153,"")</f>
        <v/>
      </c>
    </row>
    <row r="163" spans="1:2" x14ac:dyDescent="0.35">
      <c r="A163" s="2" t="str">
        <f>IF(facility!$A174&lt;&gt;"",facility!$A174,"")</f>
        <v/>
      </c>
      <c r="B163" t="str">
        <f>IF('emission sources'!$A154&lt;&gt;"",'emission sources'!$A154,"")</f>
        <v/>
      </c>
    </row>
    <row r="164" spans="1:2" x14ac:dyDescent="0.35">
      <c r="A164" s="2" t="str">
        <f>IF(facility!$A175&lt;&gt;"",facility!$A175,"")</f>
        <v/>
      </c>
      <c r="B164" t="str">
        <f>IF('emission sources'!$A155&lt;&gt;"",'emission sources'!$A155,"")</f>
        <v/>
      </c>
    </row>
    <row r="165" spans="1:2" x14ac:dyDescent="0.35">
      <c r="A165" s="2" t="str">
        <f>IF(facility!$A176&lt;&gt;"",facility!$A176,"")</f>
        <v/>
      </c>
      <c r="B165" t="str">
        <f>IF('emission sources'!$A156&lt;&gt;"",'emission sources'!$A156,"")</f>
        <v/>
      </c>
    </row>
    <row r="166" spans="1:2" x14ac:dyDescent="0.35">
      <c r="A166" s="2" t="str">
        <f>IF(facility!$A177&lt;&gt;"",facility!$A177,"")</f>
        <v/>
      </c>
      <c r="B166" t="str">
        <f>IF('emission sources'!$A157&lt;&gt;"",'emission sources'!$A157,"")</f>
        <v/>
      </c>
    </row>
    <row r="167" spans="1:2" x14ac:dyDescent="0.35">
      <c r="A167" s="2" t="str">
        <f>IF(facility!$A178&lt;&gt;"",facility!$A178,"")</f>
        <v/>
      </c>
      <c r="B167" t="str">
        <f>IF('emission sources'!$A158&lt;&gt;"",'emission sources'!$A158,"")</f>
        <v/>
      </c>
    </row>
    <row r="168" spans="1:2" x14ac:dyDescent="0.35">
      <c r="A168" s="2" t="str">
        <f>IF(facility!$A179&lt;&gt;"",facility!$A179,"")</f>
        <v/>
      </c>
      <c r="B168" t="str">
        <f>IF('emission sources'!$A159&lt;&gt;"",'emission sources'!$A159,"")</f>
        <v/>
      </c>
    </row>
    <row r="169" spans="1:2" x14ac:dyDescent="0.35">
      <c r="A169" s="2" t="str">
        <f>IF(facility!$A180&lt;&gt;"",facility!$A180,"")</f>
        <v/>
      </c>
      <c r="B169" t="str">
        <f>IF('emission sources'!$A160&lt;&gt;"",'emission sources'!$A160,"")</f>
        <v/>
      </c>
    </row>
    <row r="170" spans="1:2" x14ac:dyDescent="0.35">
      <c r="A170" s="2" t="str">
        <f>IF(facility!$A181&lt;&gt;"",facility!$A181,"")</f>
        <v/>
      </c>
      <c r="B170" t="str">
        <f>IF('emission sources'!$A161&lt;&gt;"",'emission sources'!$A161,"")</f>
        <v/>
      </c>
    </row>
    <row r="171" spans="1:2" x14ac:dyDescent="0.35">
      <c r="A171" s="2" t="str">
        <f>IF(facility!$A182&lt;&gt;"",facility!$A182,"")</f>
        <v/>
      </c>
      <c r="B171" t="str">
        <f>IF('emission sources'!$A162&lt;&gt;"",'emission sources'!$A162,"")</f>
        <v/>
      </c>
    </row>
    <row r="172" spans="1:2" x14ac:dyDescent="0.35">
      <c r="A172" s="2" t="str">
        <f>IF(facility!$A183&lt;&gt;"",facility!$A183,"")</f>
        <v/>
      </c>
      <c r="B172" t="str">
        <f>IF('emission sources'!$A163&lt;&gt;"",'emission sources'!$A163,"")</f>
        <v/>
      </c>
    </row>
    <row r="173" spans="1:2" x14ac:dyDescent="0.35">
      <c r="A173" s="2" t="str">
        <f>IF(facility!$A184&lt;&gt;"",facility!$A184,"")</f>
        <v/>
      </c>
      <c r="B173" t="str">
        <f>IF('emission sources'!$A164&lt;&gt;"",'emission sources'!$A164,"")</f>
        <v/>
      </c>
    </row>
    <row r="174" spans="1:2" x14ac:dyDescent="0.35">
      <c r="A174" s="2" t="str">
        <f>IF(facility!$A185&lt;&gt;"",facility!$A185,"")</f>
        <v/>
      </c>
      <c r="B174" t="str">
        <f>IF('emission sources'!$A165&lt;&gt;"",'emission sources'!$A165,"")</f>
        <v/>
      </c>
    </row>
    <row r="175" spans="1:2" x14ac:dyDescent="0.35">
      <c r="A175" s="2" t="str">
        <f>IF(facility!$A186&lt;&gt;"",facility!$A186,"")</f>
        <v/>
      </c>
      <c r="B175" t="str">
        <f>IF('emission sources'!$A166&lt;&gt;"",'emission sources'!$A166,"")</f>
        <v/>
      </c>
    </row>
    <row r="176" spans="1:2" x14ac:dyDescent="0.35">
      <c r="A176" s="2" t="str">
        <f>IF(facility!$A187&lt;&gt;"",facility!$A187,"")</f>
        <v/>
      </c>
      <c r="B176" t="str">
        <f>IF('emission sources'!$A167&lt;&gt;"",'emission sources'!$A167,"")</f>
        <v/>
      </c>
    </row>
    <row r="177" spans="1:2" x14ac:dyDescent="0.35">
      <c r="A177" s="2" t="str">
        <f>IF(facility!$A188&lt;&gt;"",facility!$A188,"")</f>
        <v/>
      </c>
      <c r="B177" t="str">
        <f>IF('emission sources'!$A168&lt;&gt;"",'emission sources'!$A168,"")</f>
        <v/>
      </c>
    </row>
    <row r="178" spans="1:2" x14ac:dyDescent="0.35">
      <c r="A178" s="2" t="str">
        <f>IF(facility!$A189&lt;&gt;"",facility!$A189,"")</f>
        <v/>
      </c>
      <c r="B178" t="str">
        <f>IF('emission sources'!$A169&lt;&gt;"",'emission sources'!$A169,"")</f>
        <v/>
      </c>
    </row>
    <row r="179" spans="1:2" x14ac:dyDescent="0.35">
      <c r="A179" s="2" t="str">
        <f>IF(facility!$A190&lt;&gt;"",facility!$A190,"")</f>
        <v/>
      </c>
      <c r="B179" t="str">
        <f>IF('emission sources'!$A170&lt;&gt;"",'emission sources'!$A170,"")</f>
        <v/>
      </c>
    </row>
    <row r="180" spans="1:2" x14ac:dyDescent="0.35">
      <c r="A180" s="2" t="str">
        <f>IF(facility!$A191&lt;&gt;"",facility!$A191,"")</f>
        <v/>
      </c>
      <c r="B180" t="str">
        <f>IF('emission sources'!$A171&lt;&gt;"",'emission sources'!$A171,"")</f>
        <v/>
      </c>
    </row>
    <row r="181" spans="1:2" x14ac:dyDescent="0.35">
      <c r="A181" s="2" t="str">
        <f>IF(facility!$A192&lt;&gt;"",facility!$A192,"")</f>
        <v/>
      </c>
      <c r="B181" t="str">
        <f>IF('emission sources'!$A172&lt;&gt;"",'emission sources'!$A172,"")</f>
        <v/>
      </c>
    </row>
    <row r="182" spans="1:2" x14ac:dyDescent="0.35">
      <c r="A182" s="2" t="str">
        <f>IF(facility!$A193&lt;&gt;"",facility!$A193,"")</f>
        <v/>
      </c>
      <c r="B182" t="str">
        <f>IF('emission sources'!$A173&lt;&gt;"",'emission sources'!$A173,"")</f>
        <v/>
      </c>
    </row>
    <row r="183" spans="1:2" x14ac:dyDescent="0.35">
      <c r="A183" s="2" t="str">
        <f>IF(facility!$A194&lt;&gt;"",facility!$A194,"")</f>
        <v/>
      </c>
      <c r="B183" t="str">
        <f>IF('emission sources'!$A174&lt;&gt;"",'emission sources'!$A174,"")</f>
        <v/>
      </c>
    </row>
    <row r="184" spans="1:2" x14ac:dyDescent="0.35">
      <c r="A184" s="2" t="str">
        <f>IF(facility!$A195&lt;&gt;"",facility!$A195,"")</f>
        <v/>
      </c>
      <c r="B184" t="str">
        <f>IF('emission sources'!$A175&lt;&gt;"",'emission sources'!$A175,"")</f>
        <v/>
      </c>
    </row>
    <row r="185" spans="1:2" x14ac:dyDescent="0.35">
      <c r="A185" s="2" t="str">
        <f>IF(facility!$A196&lt;&gt;"",facility!$A196,"")</f>
        <v/>
      </c>
      <c r="B185" t="str">
        <f>IF('emission sources'!$A176&lt;&gt;"",'emission sources'!$A176,"")</f>
        <v/>
      </c>
    </row>
    <row r="186" spans="1:2" x14ac:dyDescent="0.35">
      <c r="A186" s="2" t="str">
        <f>IF(facility!$A197&lt;&gt;"",facility!$A197,"")</f>
        <v/>
      </c>
      <c r="B186" t="str">
        <f>IF('emission sources'!$A177&lt;&gt;"",'emission sources'!$A177,"")</f>
        <v/>
      </c>
    </row>
    <row r="187" spans="1:2" x14ac:dyDescent="0.35">
      <c r="A187" s="2" t="str">
        <f>IF(facility!$A198&lt;&gt;"",facility!$A198,"")</f>
        <v/>
      </c>
      <c r="B187" t="str">
        <f>IF('emission sources'!$A178&lt;&gt;"",'emission sources'!$A178,"")</f>
        <v/>
      </c>
    </row>
    <row r="188" spans="1:2" x14ac:dyDescent="0.35">
      <c r="A188" s="2" t="str">
        <f>IF(facility!$A199&lt;&gt;"",facility!$A199,"")</f>
        <v/>
      </c>
      <c r="B188" t="str">
        <f>IF('emission sources'!$A179&lt;&gt;"",'emission sources'!$A179,"")</f>
        <v/>
      </c>
    </row>
    <row r="189" spans="1:2" x14ac:dyDescent="0.35">
      <c r="A189" s="2" t="str">
        <f>IF(facility!$A200&lt;&gt;"",facility!$A200,"")</f>
        <v/>
      </c>
      <c r="B189" t="str">
        <f>IF('emission sources'!$A180&lt;&gt;"",'emission sources'!$A180,"")</f>
        <v/>
      </c>
    </row>
    <row r="190" spans="1:2" x14ac:dyDescent="0.35">
      <c r="A190" s="2" t="str">
        <f>IF(facility!$A201&lt;&gt;"",facility!$A201,"")</f>
        <v/>
      </c>
      <c r="B190" t="str">
        <f>IF('emission sources'!$A181&lt;&gt;"",'emission sources'!$A181,"")</f>
        <v/>
      </c>
    </row>
    <row r="191" spans="1:2" x14ac:dyDescent="0.35">
      <c r="A191" s="2" t="str">
        <f>IF(facility!$A202&lt;&gt;"",facility!$A202,"")</f>
        <v/>
      </c>
      <c r="B191" t="str">
        <f>IF('emission sources'!$A182&lt;&gt;"",'emission sources'!$A182,"")</f>
        <v/>
      </c>
    </row>
    <row r="192" spans="1:2" x14ac:dyDescent="0.35">
      <c r="A192" s="2" t="str">
        <f>IF(facility!$A203&lt;&gt;"",facility!$A203,"")</f>
        <v/>
      </c>
      <c r="B192" t="str">
        <f>IF('emission sources'!$A183&lt;&gt;"",'emission sources'!$A183,"")</f>
        <v/>
      </c>
    </row>
    <row r="193" spans="1:2" x14ac:dyDescent="0.35">
      <c r="A193" s="2" t="str">
        <f>IF(facility!$A204&lt;&gt;"",facility!$A204,"")</f>
        <v/>
      </c>
      <c r="B193" t="str">
        <f>IF('emission sources'!$A184&lt;&gt;"",'emission sources'!$A184,"")</f>
        <v/>
      </c>
    </row>
    <row r="194" spans="1:2" x14ac:dyDescent="0.35">
      <c r="A194" s="2" t="str">
        <f>IF(facility!$A205&lt;&gt;"",facility!$A205,"")</f>
        <v/>
      </c>
      <c r="B194" t="str">
        <f>IF('emission sources'!$A185&lt;&gt;"",'emission sources'!$A185,"")</f>
        <v/>
      </c>
    </row>
    <row r="195" spans="1:2" x14ac:dyDescent="0.35">
      <c r="A195" s="2" t="str">
        <f>IF(facility!$A206&lt;&gt;"",facility!$A206,"")</f>
        <v/>
      </c>
      <c r="B195" t="str">
        <f>IF('emission sources'!$A186&lt;&gt;"",'emission sources'!$A186,"")</f>
        <v/>
      </c>
    </row>
    <row r="196" spans="1:2" x14ac:dyDescent="0.35">
      <c r="A196" s="2" t="str">
        <f>IF(facility!$A207&lt;&gt;"",facility!$A207,"")</f>
        <v/>
      </c>
      <c r="B196" t="str">
        <f>IF('emission sources'!$A187&lt;&gt;"",'emission sources'!$A187,"")</f>
        <v/>
      </c>
    </row>
    <row r="197" spans="1:2" x14ac:dyDescent="0.35">
      <c r="A197" s="2" t="str">
        <f>IF(facility!$A208&lt;&gt;"",facility!$A208,"")</f>
        <v/>
      </c>
      <c r="B197" t="str">
        <f>IF('emission sources'!$A188&lt;&gt;"",'emission sources'!$A188,"")</f>
        <v/>
      </c>
    </row>
    <row r="198" spans="1:2" x14ac:dyDescent="0.35">
      <c r="A198" s="2" t="str">
        <f>IF(facility!$A209&lt;&gt;"",facility!$A209,"")</f>
        <v/>
      </c>
      <c r="B198" t="str">
        <f>IF('emission sources'!$A189&lt;&gt;"",'emission sources'!$A189,"")</f>
        <v/>
      </c>
    </row>
    <row r="199" spans="1:2" x14ac:dyDescent="0.35">
      <c r="A199" s="2" t="str">
        <f>IF(facility!$A210&lt;&gt;"",facility!$A210,"")</f>
        <v/>
      </c>
      <c r="B199" t="str">
        <f>IF('emission sources'!$A190&lt;&gt;"",'emission sources'!$A190,"")</f>
        <v/>
      </c>
    </row>
    <row r="200" spans="1:2" x14ac:dyDescent="0.35">
      <c r="A200" s="2" t="str">
        <f>IF(facility!$A211&lt;&gt;"",facility!$A211,"")</f>
        <v/>
      </c>
      <c r="B200" t="str">
        <f>IF('emission sources'!$A191&lt;&gt;"",'emission sources'!$A191,"")</f>
        <v/>
      </c>
    </row>
    <row r="201" spans="1:2" x14ac:dyDescent="0.35">
      <c r="A201" s="2" t="str">
        <f>IF(facility!$A212&lt;&gt;"",facility!$A212,"")</f>
        <v/>
      </c>
      <c r="B201" t="str">
        <f>IF('emission sources'!$A192&lt;&gt;"",'emission sources'!$A192,"")</f>
        <v/>
      </c>
    </row>
    <row r="202" spans="1:2" x14ac:dyDescent="0.35">
      <c r="A202" s="2" t="str">
        <f>IF(facility!$A213&lt;&gt;"",facility!$A213,"")</f>
        <v/>
      </c>
      <c r="B202" t="str">
        <f>IF('emission sources'!$A193&lt;&gt;"",'emission sources'!$A193,"")</f>
        <v/>
      </c>
    </row>
    <row r="203" spans="1:2" x14ac:dyDescent="0.35">
      <c r="A203" s="2" t="str">
        <f>IF(facility!$A214&lt;&gt;"",facility!$A214,"")</f>
        <v/>
      </c>
      <c r="B203" t="str">
        <f>IF('emission sources'!$A194&lt;&gt;"",'emission sources'!$A194,"")</f>
        <v/>
      </c>
    </row>
    <row r="204" spans="1:2" x14ac:dyDescent="0.35">
      <c r="A204" s="2" t="str">
        <f>IF(facility!$A215&lt;&gt;"",facility!$A215,"")</f>
        <v/>
      </c>
      <c r="B204" t="str">
        <f>IF('emission sources'!$A195&lt;&gt;"",'emission sources'!$A195,"")</f>
        <v/>
      </c>
    </row>
    <row r="205" spans="1:2" x14ac:dyDescent="0.35">
      <c r="A205" s="2" t="str">
        <f>IF(facility!$A216&lt;&gt;"",facility!$A216,"")</f>
        <v/>
      </c>
      <c r="B205" t="str">
        <f>IF('emission sources'!$A196&lt;&gt;"",'emission sources'!$A196,"")</f>
        <v/>
      </c>
    </row>
    <row r="206" spans="1:2" x14ac:dyDescent="0.35">
      <c r="A206" s="2" t="str">
        <f>IF(facility!$A217&lt;&gt;"",facility!$A217,"")</f>
        <v/>
      </c>
      <c r="B206" t="str">
        <f>IF('emission sources'!$A197&lt;&gt;"",'emission sources'!$A197,"")</f>
        <v/>
      </c>
    </row>
    <row r="207" spans="1:2" x14ac:dyDescent="0.35">
      <c r="A207" s="2" t="str">
        <f>IF(facility!$A218&lt;&gt;"",facility!$A218,"")</f>
        <v/>
      </c>
      <c r="B207" t="str">
        <f>IF('emission sources'!$A198&lt;&gt;"",'emission sources'!$A198,"")</f>
        <v/>
      </c>
    </row>
    <row r="208" spans="1:2" x14ac:dyDescent="0.35">
      <c r="A208" s="2" t="str">
        <f>IF(facility!$A219&lt;&gt;"",facility!$A219,"")</f>
        <v/>
      </c>
      <c r="B208" t="str">
        <f>IF('emission sources'!$A199&lt;&gt;"",'emission sources'!$A199,"")</f>
        <v/>
      </c>
    </row>
    <row r="209" spans="1:2" x14ac:dyDescent="0.35">
      <c r="A209" s="2" t="str">
        <f>IF(facility!$A220&lt;&gt;"",facility!$A220,"")</f>
        <v/>
      </c>
      <c r="B209" t="str">
        <f>IF('emission sources'!$A200&lt;&gt;"",'emission sources'!$A200,"")</f>
        <v/>
      </c>
    </row>
    <row r="210" spans="1:2" x14ac:dyDescent="0.35">
      <c r="A210" s="2" t="str">
        <f>IF(facility!$A221&lt;&gt;"",facility!$A221,"")</f>
        <v/>
      </c>
      <c r="B210" t="str">
        <f>IF('emission sources'!$A201&lt;&gt;"",'emission sources'!$A201,"")</f>
        <v/>
      </c>
    </row>
    <row r="211" spans="1:2" x14ac:dyDescent="0.35">
      <c r="A211" s="2" t="str">
        <f>IF(facility!$A222&lt;&gt;"",facility!$A222,"")</f>
        <v/>
      </c>
      <c r="B211" t="str">
        <f>IF('emission sources'!$A202&lt;&gt;"",'emission sources'!$A202,"")</f>
        <v/>
      </c>
    </row>
    <row r="212" spans="1:2" x14ac:dyDescent="0.35">
      <c r="A212" s="2" t="str">
        <f>IF(facility!$A223&lt;&gt;"",facility!$A223,"")</f>
        <v/>
      </c>
      <c r="B212" t="str">
        <f>IF('emission sources'!$A203&lt;&gt;"",'emission sources'!$A203,"")</f>
        <v/>
      </c>
    </row>
    <row r="213" spans="1:2" x14ac:dyDescent="0.35">
      <c r="A213" s="2" t="str">
        <f>IF(facility!$A224&lt;&gt;"",facility!$A224,"")</f>
        <v/>
      </c>
      <c r="B213" t="str">
        <f>IF('emission sources'!$A204&lt;&gt;"",'emission sources'!$A204,"")</f>
        <v/>
      </c>
    </row>
    <row r="214" spans="1:2" x14ac:dyDescent="0.35">
      <c r="A214" s="2" t="str">
        <f>IF(facility!$A225&lt;&gt;"",facility!$A225,"")</f>
        <v/>
      </c>
      <c r="B214" t="str">
        <f>IF('emission sources'!$A205&lt;&gt;"",'emission sources'!$A205,"")</f>
        <v/>
      </c>
    </row>
    <row r="215" spans="1:2" x14ac:dyDescent="0.35">
      <c r="A215" s="2" t="str">
        <f>IF(facility!$A226&lt;&gt;"",facility!$A226,"")</f>
        <v/>
      </c>
      <c r="B215" t="str">
        <f>IF('emission sources'!$A206&lt;&gt;"",'emission sources'!$A206,"")</f>
        <v/>
      </c>
    </row>
    <row r="216" spans="1:2" x14ac:dyDescent="0.35">
      <c r="A216" s="2" t="str">
        <f>IF(facility!$A227&lt;&gt;"",facility!$A227,"")</f>
        <v/>
      </c>
      <c r="B216" t="str">
        <f>IF('emission sources'!$A207&lt;&gt;"",'emission sources'!$A207,"")</f>
        <v/>
      </c>
    </row>
    <row r="217" spans="1:2" x14ac:dyDescent="0.35">
      <c r="A217" s="2" t="str">
        <f>IF(facility!$A228&lt;&gt;"",facility!$A228,"")</f>
        <v/>
      </c>
      <c r="B217" t="str">
        <f>IF('emission sources'!$A208&lt;&gt;"",'emission sources'!$A208,"")</f>
        <v/>
      </c>
    </row>
    <row r="218" spans="1:2" x14ac:dyDescent="0.35">
      <c r="A218" s="2" t="str">
        <f>IF(facility!$A229&lt;&gt;"",facility!$A229,"")</f>
        <v/>
      </c>
      <c r="B218" t="str">
        <f>IF('emission sources'!$A209&lt;&gt;"",'emission sources'!$A209,"")</f>
        <v/>
      </c>
    </row>
    <row r="219" spans="1:2" x14ac:dyDescent="0.35">
      <c r="A219" s="2" t="str">
        <f>IF(facility!$A230&lt;&gt;"",facility!$A230,"")</f>
        <v/>
      </c>
      <c r="B219" t="str">
        <f>IF('emission sources'!$A210&lt;&gt;"",'emission sources'!$A210,"")</f>
        <v/>
      </c>
    </row>
    <row r="220" spans="1:2" x14ac:dyDescent="0.35">
      <c r="A220" s="2" t="str">
        <f>IF(facility!$A231&lt;&gt;"",facility!$A231,"")</f>
        <v/>
      </c>
      <c r="B220" t="str">
        <f>IF('emission sources'!$A211&lt;&gt;"",'emission sources'!$A211,"")</f>
        <v/>
      </c>
    </row>
    <row r="221" spans="1:2" x14ac:dyDescent="0.35">
      <c r="A221" s="2" t="str">
        <f>IF(facility!$A232&lt;&gt;"",facility!$A232,"")</f>
        <v/>
      </c>
      <c r="B221" t="str">
        <f>IF('emission sources'!$A212&lt;&gt;"",'emission sources'!$A212,"")</f>
        <v/>
      </c>
    </row>
    <row r="222" spans="1:2" x14ac:dyDescent="0.35">
      <c r="A222" s="2" t="str">
        <f>IF(facility!$A233&lt;&gt;"",facility!$A233,"")</f>
        <v/>
      </c>
      <c r="B222" t="str">
        <f>IF('emission sources'!$A213&lt;&gt;"",'emission sources'!$A213,"")</f>
        <v/>
      </c>
    </row>
    <row r="223" spans="1:2" x14ac:dyDescent="0.35">
      <c r="A223" s="2" t="str">
        <f>IF(facility!$A234&lt;&gt;"",facility!$A234,"")</f>
        <v/>
      </c>
      <c r="B223" t="str">
        <f>IF('emission sources'!$A214&lt;&gt;"",'emission sources'!$A214,"")</f>
        <v/>
      </c>
    </row>
    <row r="224" spans="1:2" x14ac:dyDescent="0.35">
      <c r="A224" s="2" t="str">
        <f>IF(facility!$A235&lt;&gt;"",facility!$A235,"")</f>
        <v/>
      </c>
      <c r="B224" t="str">
        <f>IF('emission sources'!$A215&lt;&gt;"",'emission sources'!$A215,"")</f>
        <v/>
      </c>
    </row>
    <row r="225" spans="1:2" x14ac:dyDescent="0.35">
      <c r="A225" s="2" t="str">
        <f>IF(facility!$A236&lt;&gt;"",facility!$A236,"")</f>
        <v/>
      </c>
      <c r="B225" t="str">
        <f>IF('emission sources'!$A216&lt;&gt;"",'emission sources'!$A216,"")</f>
        <v/>
      </c>
    </row>
    <row r="226" spans="1:2" x14ac:dyDescent="0.35">
      <c r="A226" s="2" t="str">
        <f>IF(facility!$A237&lt;&gt;"",facility!$A237,"")</f>
        <v/>
      </c>
      <c r="B226" t="str">
        <f>IF('emission sources'!$A217&lt;&gt;"",'emission sources'!$A217,"")</f>
        <v/>
      </c>
    </row>
    <row r="227" spans="1:2" x14ac:dyDescent="0.35">
      <c r="A227" s="2" t="str">
        <f>IF(facility!$A238&lt;&gt;"",facility!$A238,"")</f>
        <v/>
      </c>
      <c r="B227" t="str">
        <f>IF('emission sources'!$A218&lt;&gt;"",'emission sources'!$A218,"")</f>
        <v/>
      </c>
    </row>
    <row r="228" spans="1:2" x14ac:dyDescent="0.35">
      <c r="A228" s="2" t="str">
        <f>IF(facility!$A239&lt;&gt;"",facility!$A239,"")</f>
        <v/>
      </c>
      <c r="B228" t="str">
        <f>IF('emission sources'!$A219&lt;&gt;"",'emission sources'!$A219,"")</f>
        <v/>
      </c>
    </row>
    <row r="229" spans="1:2" x14ac:dyDescent="0.35">
      <c r="A229" s="2" t="str">
        <f>IF(facility!$A240&lt;&gt;"",facility!$A240,"")</f>
        <v/>
      </c>
      <c r="B229" t="str">
        <f>IF('emission sources'!$A220&lt;&gt;"",'emission sources'!$A220,"")</f>
        <v/>
      </c>
    </row>
    <row r="230" spans="1:2" x14ac:dyDescent="0.35">
      <c r="A230" s="2" t="str">
        <f>IF(facility!$A241&lt;&gt;"",facility!$A241,"")</f>
        <v/>
      </c>
      <c r="B230" t="str">
        <f>IF('emission sources'!$A221&lt;&gt;"",'emission sources'!$A221,"")</f>
        <v/>
      </c>
    </row>
    <row r="231" spans="1:2" x14ac:dyDescent="0.35">
      <c r="A231" s="2" t="str">
        <f>IF(facility!$A242&lt;&gt;"",facility!$A242,"")</f>
        <v/>
      </c>
      <c r="B231" t="str">
        <f>IF('emission sources'!$A222&lt;&gt;"",'emission sources'!$A222,"")</f>
        <v/>
      </c>
    </row>
    <row r="232" spans="1:2" x14ac:dyDescent="0.35">
      <c r="A232" s="2" t="str">
        <f>IF(facility!$A243&lt;&gt;"",facility!$A243,"")</f>
        <v/>
      </c>
      <c r="B232" t="str">
        <f>IF('emission sources'!$A223&lt;&gt;"",'emission sources'!$A223,"")</f>
        <v/>
      </c>
    </row>
    <row r="233" spans="1:2" x14ac:dyDescent="0.35">
      <c r="A233" s="2" t="str">
        <f>IF(facility!$A244&lt;&gt;"",facility!$A244,"")</f>
        <v/>
      </c>
      <c r="B233" t="str">
        <f>IF('emission sources'!$A224&lt;&gt;"",'emission sources'!$A224,"")</f>
        <v/>
      </c>
    </row>
    <row r="234" spans="1:2" x14ac:dyDescent="0.35">
      <c r="A234" s="2" t="str">
        <f>IF(facility!$A245&lt;&gt;"",facility!$A245,"")</f>
        <v/>
      </c>
      <c r="B234" t="str">
        <f>IF('emission sources'!$A225&lt;&gt;"",'emission sources'!$A225,"")</f>
        <v/>
      </c>
    </row>
    <row r="235" spans="1:2" x14ac:dyDescent="0.35">
      <c r="A235" s="2" t="str">
        <f>IF(facility!$A246&lt;&gt;"",facility!$A246,"")</f>
        <v/>
      </c>
      <c r="B235" t="str">
        <f>IF('emission sources'!$A226&lt;&gt;"",'emission sources'!$A226,"")</f>
        <v/>
      </c>
    </row>
    <row r="236" spans="1:2" x14ac:dyDescent="0.35">
      <c r="A236" s="2" t="str">
        <f>IF(facility!$A247&lt;&gt;"",facility!$A247,"")</f>
        <v/>
      </c>
      <c r="B236" t="str">
        <f>IF('emission sources'!$A227&lt;&gt;"",'emission sources'!$A227,"")</f>
        <v/>
      </c>
    </row>
    <row r="237" spans="1:2" x14ac:dyDescent="0.35">
      <c r="A237" s="2" t="str">
        <f>IF(facility!$A248&lt;&gt;"",facility!$A248,"")</f>
        <v/>
      </c>
      <c r="B237" t="str">
        <f>IF('emission sources'!$A228&lt;&gt;"",'emission sources'!$A228,"")</f>
        <v/>
      </c>
    </row>
    <row r="238" spans="1:2" x14ac:dyDescent="0.35">
      <c r="A238" s="2" t="str">
        <f>IF(facility!$A249&lt;&gt;"",facility!$A249,"")</f>
        <v/>
      </c>
      <c r="B238" t="str">
        <f>IF('emission sources'!$A229&lt;&gt;"",'emission sources'!$A229,"")</f>
        <v/>
      </c>
    </row>
    <row r="239" spans="1:2" x14ac:dyDescent="0.35">
      <c r="A239" s="2" t="str">
        <f>IF(facility!$A250&lt;&gt;"",facility!$A250,"")</f>
        <v/>
      </c>
      <c r="B239" t="str">
        <f>IF('emission sources'!$A230&lt;&gt;"",'emission sources'!$A230,"")</f>
        <v/>
      </c>
    </row>
    <row r="240" spans="1:2" x14ac:dyDescent="0.35">
      <c r="A240" s="2" t="str">
        <f>IF(facility!$A251&lt;&gt;"",facility!$A251,"")</f>
        <v/>
      </c>
      <c r="B240" t="str">
        <f>IF('emission sources'!$A231&lt;&gt;"",'emission sources'!$A231,"")</f>
        <v/>
      </c>
    </row>
    <row r="241" spans="1:2" x14ac:dyDescent="0.35">
      <c r="A241" s="2" t="str">
        <f>IF(facility!$A252&lt;&gt;"",facility!$A252,"")</f>
        <v/>
      </c>
      <c r="B241" t="str">
        <f>IF('emission sources'!$A232&lt;&gt;"",'emission sources'!$A232,"")</f>
        <v/>
      </c>
    </row>
    <row r="242" spans="1:2" x14ac:dyDescent="0.35">
      <c r="A242" s="2" t="str">
        <f>IF(facility!$A253&lt;&gt;"",facility!$A253,"")</f>
        <v/>
      </c>
      <c r="B242" t="str">
        <f>IF('emission sources'!$A233&lt;&gt;"",'emission sources'!$A233,"")</f>
        <v/>
      </c>
    </row>
    <row r="243" spans="1:2" x14ac:dyDescent="0.35">
      <c r="A243" s="2" t="str">
        <f>IF(facility!$A254&lt;&gt;"",facility!$A254,"")</f>
        <v/>
      </c>
      <c r="B243" t="str">
        <f>IF('emission sources'!$A234&lt;&gt;"",'emission sources'!$A234,"")</f>
        <v/>
      </c>
    </row>
    <row r="244" spans="1:2" x14ac:dyDescent="0.35">
      <c r="A244" s="2" t="str">
        <f>IF(facility!$A255&lt;&gt;"",facility!$A255,"")</f>
        <v/>
      </c>
      <c r="B244" t="str">
        <f>IF('emission sources'!$A235&lt;&gt;"",'emission sources'!$A235,"")</f>
        <v/>
      </c>
    </row>
    <row r="245" spans="1:2" x14ac:dyDescent="0.35">
      <c r="A245" s="2" t="str">
        <f>IF(facility!$A256&lt;&gt;"",facility!$A256,"")</f>
        <v/>
      </c>
      <c r="B245" t="str">
        <f>IF('emission sources'!$A236&lt;&gt;"",'emission sources'!$A236,"")</f>
        <v/>
      </c>
    </row>
    <row r="246" spans="1:2" x14ac:dyDescent="0.35">
      <c r="A246" s="2" t="str">
        <f>IF(facility!$A257&lt;&gt;"",facility!$A257,"")</f>
        <v/>
      </c>
      <c r="B246" t="str">
        <f>IF('emission sources'!$A237&lt;&gt;"",'emission sources'!$A237,"")</f>
        <v/>
      </c>
    </row>
    <row r="247" spans="1:2" x14ac:dyDescent="0.35">
      <c r="A247" s="2" t="str">
        <f>IF(facility!$A258&lt;&gt;"",facility!$A258,"")</f>
        <v/>
      </c>
      <c r="B247" t="str">
        <f>IF('emission sources'!$A238&lt;&gt;"",'emission sources'!$A238,"")</f>
        <v/>
      </c>
    </row>
    <row r="248" spans="1:2" x14ac:dyDescent="0.35">
      <c r="A248" s="2" t="str">
        <f>IF(facility!$A259&lt;&gt;"",facility!$A259,"")</f>
        <v/>
      </c>
      <c r="B248" t="str">
        <f>IF('emission sources'!$A239&lt;&gt;"",'emission sources'!$A239,"")</f>
        <v/>
      </c>
    </row>
    <row r="249" spans="1:2" x14ac:dyDescent="0.35">
      <c r="A249" s="2" t="str">
        <f>IF(facility!$A260&lt;&gt;"",facility!$A260,"")</f>
        <v/>
      </c>
      <c r="B249" t="str">
        <f>IF('emission sources'!$A240&lt;&gt;"",'emission sources'!$A240,"")</f>
        <v/>
      </c>
    </row>
    <row r="250" spans="1:2" x14ac:dyDescent="0.35">
      <c r="A250" s="2" t="str">
        <f>IF(facility!$A261&lt;&gt;"",facility!$A261,"")</f>
        <v/>
      </c>
      <c r="B250" t="str">
        <f>IF('emission sources'!$A241&lt;&gt;"",'emission sources'!$A241,"")</f>
        <v/>
      </c>
    </row>
    <row r="251" spans="1:2" x14ac:dyDescent="0.35">
      <c r="A251" s="2" t="str">
        <f>IF(facility!$A262&lt;&gt;"",facility!$A262,"")</f>
        <v/>
      </c>
      <c r="B251" t="str">
        <f>IF('emission sources'!$A242&lt;&gt;"",'emission sources'!$A242,"")</f>
        <v/>
      </c>
    </row>
    <row r="252" spans="1:2" x14ac:dyDescent="0.35">
      <c r="A252" s="2" t="str">
        <f>IF(facility!$A263&lt;&gt;"",facility!$A263,"")</f>
        <v/>
      </c>
      <c r="B252" t="str">
        <f>IF('emission sources'!$A243&lt;&gt;"",'emission sources'!$A243,"")</f>
        <v/>
      </c>
    </row>
    <row r="253" spans="1:2" x14ac:dyDescent="0.35">
      <c r="A253" s="2" t="str">
        <f>IF(facility!$A264&lt;&gt;"",facility!$A264,"")</f>
        <v/>
      </c>
      <c r="B253" t="str">
        <f>IF('emission sources'!$A244&lt;&gt;"",'emission sources'!$A244,"")</f>
        <v/>
      </c>
    </row>
    <row r="254" spans="1:2" x14ac:dyDescent="0.35">
      <c r="A254" s="2" t="str">
        <f>IF(facility!$A265&lt;&gt;"",facility!$A265,"")</f>
        <v/>
      </c>
      <c r="B254" t="str">
        <f>IF('emission sources'!$A245&lt;&gt;"",'emission sources'!$A245,"")</f>
        <v/>
      </c>
    </row>
    <row r="255" spans="1:2" x14ac:dyDescent="0.35">
      <c r="A255" s="2" t="str">
        <f>IF(facility!$A266&lt;&gt;"",facility!$A266,"")</f>
        <v/>
      </c>
      <c r="B255" t="str">
        <f>IF('emission sources'!$A246&lt;&gt;"",'emission sources'!$A246,"")</f>
        <v/>
      </c>
    </row>
    <row r="256" spans="1:2" x14ac:dyDescent="0.35">
      <c r="A256" s="2" t="str">
        <f>IF(facility!$A267&lt;&gt;"",facility!$A267,"")</f>
        <v/>
      </c>
      <c r="B256" t="str">
        <f>IF('emission sources'!$A247&lt;&gt;"",'emission sources'!$A247,"")</f>
        <v/>
      </c>
    </row>
    <row r="257" spans="1:2" x14ac:dyDescent="0.35">
      <c r="A257" s="2" t="str">
        <f>IF(facility!$A268&lt;&gt;"",facility!$A268,"")</f>
        <v/>
      </c>
      <c r="B257" t="str">
        <f>IF('emission sources'!$A248&lt;&gt;"",'emission sources'!$A248,"")</f>
        <v/>
      </c>
    </row>
    <row r="258" spans="1:2" x14ac:dyDescent="0.35">
      <c r="A258" s="2" t="str">
        <f>IF(facility!$A269&lt;&gt;"",facility!$A269,"")</f>
        <v/>
      </c>
      <c r="B258" t="str">
        <f>IF('emission sources'!$A249&lt;&gt;"",'emission sources'!$A249,"")</f>
        <v/>
      </c>
    </row>
    <row r="259" spans="1:2" x14ac:dyDescent="0.35">
      <c r="A259" s="2" t="str">
        <f>IF(facility!$A270&lt;&gt;"",facility!$A270,"")</f>
        <v/>
      </c>
      <c r="B259" t="str">
        <f>IF('emission sources'!$A250&lt;&gt;"",'emission sources'!$A250,"")</f>
        <v/>
      </c>
    </row>
    <row r="260" spans="1:2" x14ac:dyDescent="0.35">
      <c r="A260" s="2" t="str">
        <f>IF(facility!$A271&lt;&gt;"",facility!$A271,"")</f>
        <v/>
      </c>
      <c r="B260" t="str">
        <f>IF('emission sources'!$A251&lt;&gt;"",'emission sources'!$A251,"")</f>
        <v/>
      </c>
    </row>
    <row r="261" spans="1:2" x14ac:dyDescent="0.35">
      <c r="A261" s="2" t="str">
        <f>IF(facility!$A272&lt;&gt;"",facility!$A272,"")</f>
        <v/>
      </c>
      <c r="B261" t="str">
        <f>IF('emission sources'!$A252&lt;&gt;"",'emission sources'!$A252,"")</f>
        <v/>
      </c>
    </row>
    <row r="262" spans="1:2" x14ac:dyDescent="0.35">
      <c r="A262" s="2" t="str">
        <f>IF(facility!$A273&lt;&gt;"",facility!$A273,"")</f>
        <v/>
      </c>
      <c r="B262" t="str">
        <f>IF('emission sources'!$A253&lt;&gt;"",'emission sources'!$A253,"")</f>
        <v/>
      </c>
    </row>
    <row r="263" spans="1:2" x14ac:dyDescent="0.35">
      <c r="A263" s="2" t="str">
        <f>IF(facility!$A274&lt;&gt;"",facility!$A274,"")</f>
        <v/>
      </c>
      <c r="B263" t="str">
        <f>IF('emission sources'!$A254&lt;&gt;"",'emission sources'!$A254,"")</f>
        <v/>
      </c>
    </row>
    <row r="264" spans="1:2" x14ac:dyDescent="0.35">
      <c r="A264" s="2" t="str">
        <f>IF(facility!$A275&lt;&gt;"",facility!$A275,"")</f>
        <v/>
      </c>
      <c r="B264" t="str">
        <f>IF('emission sources'!$A255&lt;&gt;"",'emission sources'!$A255,"")</f>
        <v/>
      </c>
    </row>
    <row r="265" spans="1:2" x14ac:dyDescent="0.35">
      <c r="A265" s="2" t="str">
        <f>IF(facility!$A276&lt;&gt;"",facility!$A276,"")</f>
        <v/>
      </c>
      <c r="B265" t="str">
        <f>IF('emission sources'!$A256&lt;&gt;"",'emission sources'!$A256,"")</f>
        <v/>
      </c>
    </row>
    <row r="266" spans="1:2" x14ac:dyDescent="0.35">
      <c r="A266" s="2" t="str">
        <f>IF(facility!$A277&lt;&gt;"",facility!$A277,"")</f>
        <v/>
      </c>
      <c r="B266" t="str">
        <f>IF('emission sources'!$A257&lt;&gt;"",'emission sources'!$A257,"")</f>
        <v/>
      </c>
    </row>
    <row r="267" spans="1:2" x14ac:dyDescent="0.35">
      <c r="A267" s="2" t="str">
        <f>IF(facility!$A278&lt;&gt;"",facility!$A278,"")</f>
        <v/>
      </c>
      <c r="B267" t="str">
        <f>IF('emission sources'!$A258&lt;&gt;"",'emission sources'!$A258,"")</f>
        <v/>
      </c>
    </row>
    <row r="268" spans="1:2" x14ac:dyDescent="0.35">
      <c r="A268" s="2" t="str">
        <f>IF(facility!$A279&lt;&gt;"",facility!$A279,"")</f>
        <v/>
      </c>
      <c r="B268" t="str">
        <f>IF('emission sources'!$A259&lt;&gt;"",'emission sources'!$A259,"")</f>
        <v/>
      </c>
    </row>
    <row r="269" spans="1:2" x14ac:dyDescent="0.35">
      <c r="A269" s="2" t="str">
        <f>IF(facility!$A280&lt;&gt;"",facility!$A280,"")</f>
        <v/>
      </c>
      <c r="B269" t="str">
        <f>IF('emission sources'!$A260&lt;&gt;"",'emission sources'!$A260,"")</f>
        <v/>
      </c>
    </row>
    <row r="270" spans="1:2" x14ac:dyDescent="0.35">
      <c r="A270" s="2" t="str">
        <f>IF(facility!$A281&lt;&gt;"",facility!$A281,"")</f>
        <v/>
      </c>
      <c r="B270" t="str">
        <f>IF('emission sources'!$A261&lt;&gt;"",'emission sources'!$A261,"")</f>
        <v/>
      </c>
    </row>
    <row r="271" spans="1:2" x14ac:dyDescent="0.35">
      <c r="A271" s="2" t="str">
        <f>IF(facility!$A282&lt;&gt;"",facility!$A282,"")</f>
        <v/>
      </c>
      <c r="B271" t="str">
        <f>IF('emission sources'!$A262&lt;&gt;"",'emission sources'!$A262,"")</f>
        <v/>
      </c>
    </row>
    <row r="272" spans="1:2" x14ac:dyDescent="0.35">
      <c r="A272" s="2" t="str">
        <f>IF(facility!$A283&lt;&gt;"",facility!$A283,"")</f>
        <v/>
      </c>
      <c r="B272" t="str">
        <f>IF('emission sources'!$A263&lt;&gt;"",'emission sources'!$A263,"")</f>
        <v/>
      </c>
    </row>
    <row r="273" spans="1:2" x14ac:dyDescent="0.35">
      <c r="A273" s="2" t="str">
        <f>IF(facility!$A284&lt;&gt;"",facility!$A284,"")</f>
        <v/>
      </c>
      <c r="B273" t="str">
        <f>IF('emission sources'!$A264&lt;&gt;"",'emission sources'!$A264,"")</f>
        <v/>
      </c>
    </row>
    <row r="274" spans="1:2" x14ac:dyDescent="0.35">
      <c r="A274" s="2" t="str">
        <f>IF(facility!$A285&lt;&gt;"",facility!$A285,"")</f>
        <v/>
      </c>
      <c r="B274" t="str">
        <f>IF('emission sources'!$A265&lt;&gt;"",'emission sources'!$A265,"")</f>
        <v/>
      </c>
    </row>
    <row r="275" spans="1:2" x14ac:dyDescent="0.35">
      <c r="A275" s="2" t="str">
        <f>IF(facility!$A286&lt;&gt;"",facility!$A286,"")</f>
        <v/>
      </c>
      <c r="B275" t="str">
        <f>IF('emission sources'!$A266&lt;&gt;"",'emission sources'!$A266,"")</f>
        <v/>
      </c>
    </row>
    <row r="276" spans="1:2" x14ac:dyDescent="0.35">
      <c r="A276" s="2" t="str">
        <f>IF(facility!$A287&lt;&gt;"",facility!$A287,"")</f>
        <v/>
      </c>
      <c r="B276" t="str">
        <f>IF('emission sources'!$A267&lt;&gt;"",'emission sources'!$A267,"")</f>
        <v/>
      </c>
    </row>
    <row r="277" spans="1:2" x14ac:dyDescent="0.35">
      <c r="A277" s="2" t="str">
        <f>IF(facility!$A288&lt;&gt;"",facility!$A288,"")</f>
        <v/>
      </c>
      <c r="B277" t="str">
        <f>IF('emission sources'!$A268&lt;&gt;"",'emission sources'!$A268,"")</f>
        <v/>
      </c>
    </row>
    <row r="278" spans="1:2" x14ac:dyDescent="0.35">
      <c r="A278" s="2" t="str">
        <f>IF(facility!$A289&lt;&gt;"",facility!$A289,"")</f>
        <v/>
      </c>
      <c r="B278" t="str">
        <f>IF('emission sources'!$A269&lt;&gt;"",'emission sources'!$A269,"")</f>
        <v/>
      </c>
    </row>
    <row r="279" spans="1:2" x14ac:dyDescent="0.35">
      <c r="A279" s="2" t="str">
        <f>IF(facility!$A290&lt;&gt;"",facility!$A290,"")</f>
        <v/>
      </c>
      <c r="B279" t="str">
        <f>IF('emission sources'!$A270&lt;&gt;"",'emission sources'!$A270,"")</f>
        <v/>
      </c>
    </row>
    <row r="280" spans="1:2" x14ac:dyDescent="0.35">
      <c r="A280" s="2" t="str">
        <f>IF(facility!$A291&lt;&gt;"",facility!$A291,"")</f>
        <v/>
      </c>
      <c r="B280" t="str">
        <f>IF('emission sources'!$A271&lt;&gt;"",'emission sources'!$A271,"")</f>
        <v/>
      </c>
    </row>
    <row r="281" spans="1:2" x14ac:dyDescent="0.35">
      <c r="A281" s="2" t="str">
        <f>IF(facility!$A292&lt;&gt;"",facility!$A292,"")</f>
        <v/>
      </c>
      <c r="B281" t="str">
        <f>IF('emission sources'!$A272&lt;&gt;"",'emission sources'!$A272,"")</f>
        <v/>
      </c>
    </row>
    <row r="282" spans="1:2" x14ac:dyDescent="0.35">
      <c r="A282" s="2" t="str">
        <f>IF(facility!$A293&lt;&gt;"",facility!$A293,"")</f>
        <v/>
      </c>
      <c r="B282" t="str">
        <f>IF('emission sources'!$A273&lt;&gt;"",'emission sources'!$A273,"")</f>
        <v/>
      </c>
    </row>
    <row r="283" spans="1:2" x14ac:dyDescent="0.35">
      <c r="A283" s="2" t="str">
        <f>IF(facility!$A294&lt;&gt;"",facility!$A294,"")</f>
        <v/>
      </c>
      <c r="B283" t="str">
        <f>IF('emission sources'!$A274&lt;&gt;"",'emission sources'!$A274,"")</f>
        <v/>
      </c>
    </row>
    <row r="284" spans="1:2" x14ac:dyDescent="0.35">
      <c r="A284" s="2" t="str">
        <f>IF(facility!$A295&lt;&gt;"",facility!$A295,"")</f>
        <v/>
      </c>
      <c r="B284" t="str">
        <f>IF('emission sources'!$A275&lt;&gt;"",'emission sources'!$A275,"")</f>
        <v/>
      </c>
    </row>
    <row r="285" spans="1:2" x14ac:dyDescent="0.35">
      <c r="A285" s="2" t="str">
        <f>IF(facility!$A296&lt;&gt;"",facility!$A296,"")</f>
        <v/>
      </c>
      <c r="B285" t="str">
        <f>IF('emission sources'!$A276&lt;&gt;"",'emission sources'!$A276,"")</f>
        <v/>
      </c>
    </row>
    <row r="286" spans="1:2" x14ac:dyDescent="0.35">
      <c r="A286" s="2" t="str">
        <f>IF(facility!$A297&lt;&gt;"",facility!$A297,"")</f>
        <v/>
      </c>
      <c r="B286" t="str">
        <f>IF('emission sources'!$A277&lt;&gt;"",'emission sources'!$A277,"")</f>
        <v/>
      </c>
    </row>
    <row r="287" spans="1:2" x14ac:dyDescent="0.35">
      <c r="A287" s="2" t="str">
        <f>IF(facility!$A298&lt;&gt;"",facility!$A298,"")</f>
        <v/>
      </c>
      <c r="B287" t="str">
        <f>IF('emission sources'!$A278&lt;&gt;"",'emission sources'!$A278,"")</f>
        <v/>
      </c>
    </row>
    <row r="288" spans="1:2" x14ac:dyDescent="0.35">
      <c r="A288" s="2" t="str">
        <f>IF(facility!$A299&lt;&gt;"",facility!$A299,"")</f>
        <v/>
      </c>
      <c r="B288" t="str">
        <f>IF('emission sources'!$A279&lt;&gt;"",'emission sources'!$A279,"")</f>
        <v/>
      </c>
    </row>
    <row r="289" spans="1:2" x14ac:dyDescent="0.35">
      <c r="A289" s="2" t="str">
        <f>IF(facility!$A300&lt;&gt;"",facility!$A300,"")</f>
        <v/>
      </c>
      <c r="B289" t="str">
        <f>IF('emission sources'!$A280&lt;&gt;"",'emission sources'!$A280,"")</f>
        <v/>
      </c>
    </row>
    <row r="290" spans="1:2" x14ac:dyDescent="0.35">
      <c r="A290" s="2" t="str">
        <f>IF(facility!$A301&lt;&gt;"",facility!$A301,"")</f>
        <v/>
      </c>
      <c r="B290" t="str">
        <f>IF('emission sources'!$A281&lt;&gt;"",'emission sources'!$A281,"")</f>
        <v/>
      </c>
    </row>
    <row r="291" spans="1:2" x14ac:dyDescent="0.35">
      <c r="A291" s="2" t="str">
        <f>IF(facility!$A302&lt;&gt;"",facility!$A302,"")</f>
        <v/>
      </c>
      <c r="B291" t="str">
        <f>IF('emission sources'!$A282&lt;&gt;"",'emission sources'!$A282,"")</f>
        <v/>
      </c>
    </row>
    <row r="292" spans="1:2" x14ac:dyDescent="0.35">
      <c r="A292" s="2" t="str">
        <f>IF(facility!$A303&lt;&gt;"",facility!$A303,"")</f>
        <v/>
      </c>
      <c r="B292" t="str">
        <f>IF('emission sources'!$A283&lt;&gt;"",'emission sources'!$A283,"")</f>
        <v/>
      </c>
    </row>
    <row r="293" spans="1:2" x14ac:dyDescent="0.35">
      <c r="A293" s="2" t="str">
        <f>IF(facility!$A304&lt;&gt;"",facility!$A304,"")</f>
        <v/>
      </c>
      <c r="B293" t="str">
        <f>IF('emission sources'!$A284&lt;&gt;"",'emission sources'!$A284,"")</f>
        <v/>
      </c>
    </row>
    <row r="294" spans="1:2" x14ac:dyDescent="0.35">
      <c r="A294" s="2" t="str">
        <f>IF(facility!$A305&lt;&gt;"",facility!$A305,"")</f>
        <v/>
      </c>
      <c r="B294" t="str">
        <f>IF('emission sources'!$A285&lt;&gt;"",'emission sources'!$A285,"")</f>
        <v/>
      </c>
    </row>
    <row r="295" spans="1:2" x14ac:dyDescent="0.35">
      <c r="A295" s="2" t="str">
        <f>IF(facility!$A306&lt;&gt;"",facility!$A306,"")</f>
        <v/>
      </c>
      <c r="B295" t="str">
        <f>IF('emission sources'!$A286&lt;&gt;"",'emission sources'!$A286,"")</f>
        <v/>
      </c>
    </row>
    <row r="296" spans="1:2" x14ac:dyDescent="0.35">
      <c r="A296" s="2" t="str">
        <f>IF(facility!$A307&lt;&gt;"",facility!$A307,"")</f>
        <v/>
      </c>
      <c r="B296" t="str">
        <f>IF('emission sources'!$A287&lt;&gt;"",'emission sources'!$A287,"")</f>
        <v/>
      </c>
    </row>
    <row r="297" spans="1:2" x14ac:dyDescent="0.35">
      <c r="A297" s="2" t="str">
        <f>IF(facility!$A308&lt;&gt;"",facility!$A308,"")</f>
        <v/>
      </c>
      <c r="B297" t="str">
        <f>IF('emission sources'!$A288&lt;&gt;"",'emission sources'!$A288,"")</f>
        <v/>
      </c>
    </row>
    <row r="298" spans="1:2" x14ac:dyDescent="0.35">
      <c r="A298" s="2" t="str">
        <f>IF(facility!$A309&lt;&gt;"",facility!$A309,"")</f>
        <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8742-5DE1-4251-BCAF-1C9996AAECDA}">
  <sheetPr>
    <tabColor theme="5"/>
  </sheetPr>
  <dimension ref="A1:E13"/>
  <sheetViews>
    <sheetView tabSelected="1" zoomScaleNormal="100" workbookViewId="0">
      <selection activeCell="B13" sqref="B13"/>
    </sheetView>
  </sheetViews>
  <sheetFormatPr defaultRowHeight="14.5" x14ac:dyDescent="0.35"/>
  <cols>
    <col min="1" max="1" width="35.1796875" bestFit="1" customWidth="1"/>
    <col min="2" max="2" width="32" bestFit="1" customWidth="1"/>
    <col min="3" max="3" width="30.453125" bestFit="1" customWidth="1"/>
    <col min="4" max="4" width="19.26953125" customWidth="1"/>
    <col min="5" max="5" width="26.26953125" customWidth="1"/>
  </cols>
  <sheetData>
    <row r="1" spans="1:5" x14ac:dyDescent="0.35">
      <c r="A1" s="3" t="s">
        <v>1</v>
      </c>
      <c r="B1" s="3" t="s">
        <v>2</v>
      </c>
      <c r="C1" s="3" t="s">
        <v>39</v>
      </c>
      <c r="D1" s="3" t="s">
        <v>35</v>
      </c>
      <c r="E1" s="3" t="s">
        <v>36</v>
      </c>
    </row>
    <row r="2" spans="1:5" x14ac:dyDescent="0.35">
      <c r="A2" t="s">
        <v>47</v>
      </c>
      <c r="B2" t="s">
        <v>48</v>
      </c>
      <c r="D2" s="13">
        <v>2199</v>
      </c>
      <c r="E2" t="s">
        <v>49</v>
      </c>
    </row>
    <row r="3" spans="1:5" x14ac:dyDescent="0.35">
      <c r="A3" t="s">
        <v>50</v>
      </c>
      <c r="B3" t="s">
        <v>51</v>
      </c>
      <c r="D3" s="13">
        <v>161</v>
      </c>
      <c r="E3" t="s">
        <v>52</v>
      </c>
    </row>
    <row r="4" spans="1:5" x14ac:dyDescent="0.35">
      <c r="A4" t="s">
        <v>53</v>
      </c>
      <c r="B4" t="s">
        <v>54</v>
      </c>
      <c r="D4" s="13">
        <v>110</v>
      </c>
      <c r="E4" t="s">
        <v>55</v>
      </c>
    </row>
    <row r="5" spans="1:5" x14ac:dyDescent="0.35">
      <c r="A5" t="s">
        <v>67</v>
      </c>
      <c r="B5" t="s">
        <v>68</v>
      </c>
      <c r="D5" s="13">
        <v>474</v>
      </c>
      <c r="E5" t="s">
        <v>55</v>
      </c>
    </row>
    <row r="6" spans="1:5" x14ac:dyDescent="0.35">
      <c r="A6" t="s">
        <v>56</v>
      </c>
      <c r="B6" t="s">
        <v>69</v>
      </c>
      <c r="D6" s="13">
        <v>71</v>
      </c>
      <c r="E6" t="s">
        <v>57</v>
      </c>
    </row>
    <row r="7" spans="1:5" x14ac:dyDescent="0.35">
      <c r="A7" t="s">
        <v>70</v>
      </c>
      <c r="B7" t="s">
        <v>71</v>
      </c>
      <c r="D7" s="13">
        <v>37</v>
      </c>
      <c r="E7" t="s">
        <v>60</v>
      </c>
    </row>
    <row r="8" spans="1:5" x14ac:dyDescent="0.35">
      <c r="A8" t="s">
        <v>58</v>
      </c>
      <c r="B8" t="s">
        <v>59</v>
      </c>
      <c r="D8" s="13">
        <v>185</v>
      </c>
      <c r="E8" t="s">
        <v>60</v>
      </c>
    </row>
    <row r="9" spans="1:5" x14ac:dyDescent="0.35">
      <c r="A9" t="s">
        <v>72</v>
      </c>
      <c r="B9" t="s">
        <v>73</v>
      </c>
      <c r="D9" s="13">
        <v>370</v>
      </c>
      <c r="E9" t="s">
        <v>60</v>
      </c>
    </row>
    <row r="10" spans="1:5" x14ac:dyDescent="0.35">
      <c r="A10" t="s">
        <v>61</v>
      </c>
      <c r="B10" t="s">
        <v>62</v>
      </c>
      <c r="D10" s="13">
        <v>-500</v>
      </c>
      <c r="E10" t="s">
        <v>63</v>
      </c>
    </row>
    <row r="11" spans="1:5" x14ac:dyDescent="0.35">
      <c r="A11" t="s">
        <v>64</v>
      </c>
      <c r="B11" t="s">
        <v>78</v>
      </c>
      <c r="D11" s="13">
        <v>-1000</v>
      </c>
      <c r="E11" t="s">
        <v>63</v>
      </c>
    </row>
    <row r="12" spans="1:5" x14ac:dyDescent="0.35">
      <c r="A12" t="s">
        <v>65</v>
      </c>
      <c r="B12" t="s">
        <v>81</v>
      </c>
      <c r="D12" s="13">
        <v>5670</v>
      </c>
      <c r="E12" t="s">
        <v>66</v>
      </c>
    </row>
    <row r="13" spans="1:5" x14ac:dyDescent="0.35">
      <c r="A13" t="s">
        <v>74</v>
      </c>
      <c r="B13" t="s">
        <v>80</v>
      </c>
      <c r="D13" s="13">
        <v>579</v>
      </c>
      <c r="E13" t="s">
        <v>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89EAA-BEBD-4D83-9AF9-C80D83B42443}">
  <sheetPr>
    <tabColor theme="5"/>
  </sheetPr>
  <dimension ref="A1:B1"/>
  <sheetViews>
    <sheetView workbookViewId="0">
      <selection activeCell="B2" sqref="B2"/>
    </sheetView>
  </sheetViews>
  <sheetFormatPr defaultRowHeight="14.5" x14ac:dyDescent="0.35"/>
  <cols>
    <col min="1" max="1" width="23.26953125" bestFit="1" customWidth="1"/>
    <col min="2" max="2" width="17.81640625" bestFit="1" customWidth="1"/>
  </cols>
  <sheetData>
    <row r="1" spans="1:2" x14ac:dyDescent="0.35">
      <c r="A1" t="s">
        <v>61</v>
      </c>
      <c r="B1" t="s">
        <v>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88EC4-FD0D-4EAE-8586-15A0C7C4D98A}">
  <sheetPr>
    <tabColor theme="5" tint="0.39997558519241921"/>
  </sheetPr>
  <dimension ref="A1:KB296"/>
  <sheetViews>
    <sheetView topLeftCell="A4" zoomScaleNormal="100" workbookViewId="0">
      <selection activeCell="A6" sqref="A6:XFD6"/>
    </sheetView>
  </sheetViews>
  <sheetFormatPr defaultRowHeight="14.5" x14ac:dyDescent="0.35"/>
  <cols>
    <col min="1" max="1" width="35.453125" bestFit="1" customWidth="1"/>
    <col min="2" max="2" width="16.54296875" customWidth="1"/>
    <col min="3" max="3" width="16.1796875" customWidth="1"/>
    <col min="4" max="4" width="18.54296875" customWidth="1"/>
    <col min="5" max="5" width="15.54296875" bestFit="1" customWidth="1"/>
    <col min="6" max="6" width="20" customWidth="1"/>
    <col min="7" max="7" width="17" customWidth="1"/>
    <col min="8" max="8" width="11.26953125" bestFit="1" customWidth="1"/>
    <col min="9" max="9" width="17.54296875" customWidth="1"/>
    <col min="10" max="10" width="18.453125" customWidth="1"/>
    <col min="11" max="11" width="19.26953125" customWidth="1"/>
  </cols>
  <sheetData>
    <row r="1" spans="1:288" s="2" customFormat="1" x14ac:dyDescent="0.35">
      <c r="A1" s="2" t="s">
        <v>3</v>
      </c>
      <c r="B1" s="2" t="str">
        <f>IF('emission sources'!$A2&lt;&gt;"",'emission sources'!$A2,"")</f>
        <v>Grid_Electricity</v>
      </c>
      <c r="C1" s="2" t="str">
        <f>IF('emission sources'!$A3&lt;&gt;"",'emission sources'!$A3,"")</f>
        <v>Lighting</v>
      </c>
      <c r="D1" s="2" t="str">
        <f>IF('emission sources'!$A4&lt;&gt;"",'emission sources'!$A4,"")</f>
        <v>Heating</v>
      </c>
      <c r="E1" s="2" t="str">
        <f>IF('emission sources'!$A5&lt;&gt;"",'emission sources'!$A5,"")</f>
        <v>Building_Energy</v>
      </c>
      <c r="F1" s="2" t="str">
        <f>IF('emission sources'!$A6&lt;&gt;"",'emission sources'!$A6,"")</f>
        <v>Vehicle_Fuel_Owned</v>
      </c>
      <c r="G1" s="2" t="str">
        <f>IF('emission sources'!$A7&lt;&gt;"",'emission sources'!$A7,"")</f>
        <v>Business_Travel</v>
      </c>
      <c r="H1" s="2" t="str">
        <f>IF('emission sources'!$A8&lt;&gt;"",'emission sources'!$A8,"")</f>
        <v>Anaesthetic_Gases</v>
      </c>
      <c r="I1" s="2" t="str">
        <f>IF('emission sources'!$A9&lt;&gt;"",'emission sources'!$A9,"")</f>
        <v>Refrigeration_Gases</v>
      </c>
      <c r="J1" s="2" t="str">
        <f>IF('emission sources'!$A10&lt;&gt;"",'emission sources'!$A10,"")</f>
        <v>Medical_Inhalers</v>
      </c>
      <c r="K1" s="2" t="str">
        <f>IF('emission sources'!$A11&lt;&gt;"",'emission sources'!$A11,"")</f>
        <v>Waste_Management</v>
      </c>
      <c r="L1" s="2" t="str">
        <f>IF('emission sources'!$A12&lt;&gt;"",'emission sources'!$A12,"")</f>
        <v>Contactor_logistics</v>
      </c>
      <c r="M1" s="2" t="str">
        <f>IF('emission sources'!$A13&lt;&gt;"",'emission sources'!$A13,"")</f>
        <v/>
      </c>
      <c r="N1" s="2" t="str">
        <f>IF('emission sources'!$A14&lt;&gt;"",'emission sources'!$A14,"")</f>
        <v/>
      </c>
      <c r="O1" s="2" t="str">
        <f>IF('emission sources'!$A15&lt;&gt;"",'emission sources'!$A15,"")</f>
        <v/>
      </c>
      <c r="P1" s="2" t="str">
        <f>IF('emission sources'!$A16&lt;&gt;"",'emission sources'!$A16,"")</f>
        <v/>
      </c>
      <c r="Q1" s="2" t="str">
        <f>IF('emission sources'!$A17&lt;&gt;"",'emission sources'!$A17,"")</f>
        <v/>
      </c>
      <c r="R1" s="2" t="str">
        <f>IF('emission sources'!$A18&lt;&gt;"",'emission sources'!$A18,"")</f>
        <v/>
      </c>
      <c r="S1" s="2" t="str">
        <f>IF('emission sources'!$A19&lt;&gt;"",'emission sources'!$A19,"")</f>
        <v/>
      </c>
      <c r="T1" s="2" t="str">
        <f>IF('emission sources'!$A20&lt;&gt;"",'emission sources'!$A20,"")</f>
        <v/>
      </c>
      <c r="U1" s="2" t="str">
        <f>IF('emission sources'!$A21&lt;&gt;"",'emission sources'!$A21,"")</f>
        <v/>
      </c>
      <c r="V1" s="2" t="str">
        <f>IF('emission sources'!$A22&lt;&gt;"",'emission sources'!$A22,"")</f>
        <v/>
      </c>
      <c r="W1" s="2" t="str">
        <f>IF('emission sources'!$A23&lt;&gt;"",'emission sources'!$A23,"")</f>
        <v/>
      </c>
      <c r="X1" s="2" t="str">
        <f>IF('emission sources'!$A24&lt;&gt;"",'emission sources'!$A24,"")</f>
        <v/>
      </c>
      <c r="Y1" s="2" t="str">
        <f>IF('emission sources'!$A25&lt;&gt;"",'emission sources'!$A25,"")</f>
        <v/>
      </c>
      <c r="Z1" s="2" t="str">
        <f>IF('emission sources'!$A26&lt;&gt;"",'emission sources'!$A26,"")</f>
        <v/>
      </c>
      <c r="AA1" s="2" t="str">
        <f>IF('emission sources'!$A27&lt;&gt;"",'emission sources'!$A27,"")</f>
        <v/>
      </c>
      <c r="AB1" s="2" t="str">
        <f>IF('emission sources'!$A28&lt;&gt;"",'emission sources'!$A28,"")</f>
        <v/>
      </c>
      <c r="AC1" s="2" t="str">
        <f>IF('emission sources'!$A29&lt;&gt;"",'emission sources'!$A29,"")</f>
        <v/>
      </c>
      <c r="AD1" s="2" t="str">
        <f>IF('emission sources'!$A30&lt;&gt;"",'emission sources'!$A30,"")</f>
        <v/>
      </c>
      <c r="AE1" s="2" t="str">
        <f>IF('emission sources'!$A31&lt;&gt;"",'emission sources'!$A31,"")</f>
        <v/>
      </c>
      <c r="AF1" s="2" t="str">
        <f>IF('emission sources'!$A32&lt;&gt;"",'emission sources'!$A32,"")</f>
        <v/>
      </c>
      <c r="AG1" s="2" t="str">
        <f>IF('emission sources'!$A33&lt;&gt;"",'emission sources'!$A33,"")</f>
        <v/>
      </c>
      <c r="AH1" s="2" t="str">
        <f>IF('emission sources'!$A34&lt;&gt;"",'emission sources'!$A34,"")</f>
        <v/>
      </c>
      <c r="AI1" s="2" t="str">
        <f>IF('emission sources'!$A35&lt;&gt;"",'emission sources'!$A35,"")</f>
        <v/>
      </c>
      <c r="AJ1" s="2" t="str">
        <f>IF('emission sources'!$A36&lt;&gt;"",'emission sources'!$A36,"")</f>
        <v/>
      </c>
      <c r="AK1" s="2" t="str">
        <f>IF('emission sources'!$A37&lt;&gt;"",'emission sources'!$A37,"")</f>
        <v/>
      </c>
      <c r="AL1" s="2" t="str">
        <f>IF('emission sources'!$A38&lt;&gt;"",'emission sources'!$A38,"")</f>
        <v/>
      </c>
      <c r="AM1" s="2" t="str">
        <f>IF('emission sources'!$A39&lt;&gt;"",'emission sources'!$A39,"")</f>
        <v/>
      </c>
      <c r="AN1" s="2" t="str">
        <f>IF('emission sources'!$A40&lt;&gt;"",'emission sources'!$A40,"")</f>
        <v/>
      </c>
      <c r="AO1" s="2" t="str">
        <f>IF('emission sources'!$A41&lt;&gt;"",'emission sources'!$A41,"")</f>
        <v/>
      </c>
      <c r="AP1" s="2" t="str">
        <f>IF('emission sources'!$A42&lt;&gt;"",'emission sources'!$A42,"")</f>
        <v/>
      </c>
      <c r="AQ1" s="2" t="str">
        <f>IF('emission sources'!$A43&lt;&gt;"",'emission sources'!$A43,"")</f>
        <v/>
      </c>
      <c r="AR1" s="2" t="str">
        <f>IF('emission sources'!$A44&lt;&gt;"",'emission sources'!$A44,"")</f>
        <v/>
      </c>
      <c r="AS1" s="2" t="str">
        <f>IF('emission sources'!$A45&lt;&gt;"",'emission sources'!$A45,"")</f>
        <v/>
      </c>
      <c r="AT1" s="2" t="str">
        <f>IF('emission sources'!$A46&lt;&gt;"",'emission sources'!$A46,"")</f>
        <v/>
      </c>
      <c r="AU1" s="2" t="str">
        <f>IF('emission sources'!$A47&lt;&gt;"",'emission sources'!$A47,"")</f>
        <v/>
      </c>
      <c r="AV1" s="2" t="str">
        <f>IF('emission sources'!$A48&lt;&gt;"",'emission sources'!$A48,"")</f>
        <v/>
      </c>
      <c r="AW1" s="2" t="str">
        <f>IF('emission sources'!$A49&lt;&gt;"",'emission sources'!$A49,"")</f>
        <v/>
      </c>
      <c r="AX1" s="2" t="str">
        <f>IF('emission sources'!$A50&lt;&gt;"",'emission sources'!$A50,"")</f>
        <v/>
      </c>
      <c r="AY1" s="2" t="str">
        <f>IF('emission sources'!$A51&lt;&gt;"",'emission sources'!$A51,"")</f>
        <v/>
      </c>
      <c r="AZ1" s="2" t="str">
        <f>IF('emission sources'!$A52&lt;&gt;"",'emission sources'!$A52,"")</f>
        <v/>
      </c>
      <c r="BA1" s="2" t="str">
        <f>IF('emission sources'!$A53&lt;&gt;"",'emission sources'!$A53,"")</f>
        <v/>
      </c>
      <c r="BB1" s="2" t="str">
        <f>IF('emission sources'!$A54&lt;&gt;"",'emission sources'!$A54,"")</f>
        <v/>
      </c>
      <c r="BC1" s="2" t="str">
        <f>IF('emission sources'!$A55&lt;&gt;"",'emission sources'!$A55,"")</f>
        <v/>
      </c>
      <c r="BD1" s="2" t="str">
        <f>IF('emission sources'!$A56&lt;&gt;"",'emission sources'!$A56,"")</f>
        <v/>
      </c>
      <c r="BE1" s="2" t="str">
        <f>IF('emission sources'!$A57&lt;&gt;"",'emission sources'!$A57,"")</f>
        <v/>
      </c>
      <c r="BF1" s="2" t="str">
        <f>IF('emission sources'!$A58&lt;&gt;"",'emission sources'!$A58,"")</f>
        <v/>
      </c>
      <c r="BG1" s="2" t="str">
        <f>IF('emission sources'!$A59&lt;&gt;"",'emission sources'!$A59,"")</f>
        <v/>
      </c>
      <c r="BH1" s="2" t="str">
        <f>IF('emission sources'!$A60&lt;&gt;"",'emission sources'!$A60,"")</f>
        <v/>
      </c>
      <c r="BI1" s="2" t="str">
        <f>IF('emission sources'!$A61&lt;&gt;"",'emission sources'!$A61,"")</f>
        <v/>
      </c>
      <c r="BJ1" s="2" t="str">
        <f>IF('emission sources'!$A62&lt;&gt;"",'emission sources'!$A62,"")</f>
        <v/>
      </c>
      <c r="BK1" s="2" t="str">
        <f>IF('emission sources'!$A63&lt;&gt;"",'emission sources'!$A63,"")</f>
        <v/>
      </c>
      <c r="BL1" s="2" t="str">
        <f>IF('emission sources'!$A64&lt;&gt;"",'emission sources'!$A64,"")</f>
        <v/>
      </c>
      <c r="BM1" s="2" t="str">
        <f>IF('emission sources'!$A65&lt;&gt;"",'emission sources'!$A65,"")</f>
        <v/>
      </c>
      <c r="BN1" s="2" t="str">
        <f>IF('emission sources'!$A66&lt;&gt;"",'emission sources'!$A66,"")</f>
        <v/>
      </c>
      <c r="BO1" s="2" t="str">
        <f>IF('emission sources'!$A67&lt;&gt;"",'emission sources'!$A67,"")</f>
        <v/>
      </c>
      <c r="BP1" s="2" t="str">
        <f>IF('emission sources'!$A68&lt;&gt;"",'emission sources'!$A68,"")</f>
        <v/>
      </c>
      <c r="BQ1" s="2" t="str">
        <f>IF('emission sources'!$A69&lt;&gt;"",'emission sources'!$A69,"")</f>
        <v/>
      </c>
      <c r="BR1" s="2" t="str">
        <f>IF('emission sources'!$A70&lt;&gt;"",'emission sources'!$A70,"")</f>
        <v/>
      </c>
      <c r="BS1" s="2" t="str">
        <f>IF('emission sources'!$A71&lt;&gt;"",'emission sources'!$A71,"")</f>
        <v/>
      </c>
      <c r="BT1" s="2" t="str">
        <f>IF('emission sources'!$A72&lt;&gt;"",'emission sources'!$A72,"")</f>
        <v/>
      </c>
      <c r="BU1" s="2" t="str">
        <f>IF('emission sources'!$A73&lt;&gt;"",'emission sources'!$A73,"")</f>
        <v/>
      </c>
      <c r="BV1" s="2" t="str">
        <f>IF('emission sources'!$A74&lt;&gt;"",'emission sources'!$A74,"")</f>
        <v/>
      </c>
      <c r="BW1" s="2" t="str">
        <f>IF('emission sources'!$A75&lt;&gt;"",'emission sources'!$A75,"")</f>
        <v/>
      </c>
      <c r="BX1" s="2" t="str">
        <f>IF('emission sources'!$A76&lt;&gt;"",'emission sources'!$A76,"")</f>
        <v/>
      </c>
      <c r="BY1" s="2" t="str">
        <f>IF('emission sources'!$A77&lt;&gt;"",'emission sources'!$A77,"")</f>
        <v/>
      </c>
      <c r="BZ1" s="2" t="str">
        <f>IF('emission sources'!$A78&lt;&gt;"",'emission sources'!$A78,"")</f>
        <v/>
      </c>
      <c r="CA1" s="2" t="str">
        <f>IF('emission sources'!$A79&lt;&gt;"",'emission sources'!$A79,"")</f>
        <v/>
      </c>
      <c r="CB1" s="2" t="str">
        <f>IF('emission sources'!$A80&lt;&gt;"",'emission sources'!$A80,"")</f>
        <v/>
      </c>
      <c r="CC1" s="2" t="str">
        <f>IF('emission sources'!$A81&lt;&gt;"",'emission sources'!$A81,"")</f>
        <v/>
      </c>
      <c r="CD1" s="2" t="str">
        <f>IF('emission sources'!$A82&lt;&gt;"",'emission sources'!$A82,"")</f>
        <v/>
      </c>
      <c r="CE1" s="2" t="str">
        <f>IF('emission sources'!$A83&lt;&gt;"",'emission sources'!$A83,"")</f>
        <v/>
      </c>
      <c r="CF1" s="2" t="str">
        <f>IF('emission sources'!$A84&lt;&gt;"",'emission sources'!$A84,"")</f>
        <v/>
      </c>
      <c r="CG1" s="2" t="str">
        <f>IF('emission sources'!$A85&lt;&gt;"",'emission sources'!$A85,"")</f>
        <v/>
      </c>
      <c r="CH1" s="2" t="str">
        <f>IF('emission sources'!$A86&lt;&gt;"",'emission sources'!$A86,"")</f>
        <v/>
      </c>
      <c r="CI1" s="2" t="str">
        <f>IF('emission sources'!$A87&lt;&gt;"",'emission sources'!$A87,"")</f>
        <v/>
      </c>
      <c r="CJ1" s="2" t="str">
        <f>IF('emission sources'!$A88&lt;&gt;"",'emission sources'!$A88,"")</f>
        <v/>
      </c>
      <c r="CK1" s="2" t="str">
        <f>IF('emission sources'!$A89&lt;&gt;"",'emission sources'!$A89,"")</f>
        <v/>
      </c>
      <c r="CL1" s="2" t="str">
        <f>IF('emission sources'!$A90&lt;&gt;"",'emission sources'!$A90,"")</f>
        <v/>
      </c>
      <c r="CM1" s="2" t="str">
        <f>IF('emission sources'!$A91&lt;&gt;"",'emission sources'!$A91,"")</f>
        <v/>
      </c>
      <c r="CN1" s="2" t="str">
        <f>IF('emission sources'!$A92&lt;&gt;"",'emission sources'!$A92,"")</f>
        <v/>
      </c>
      <c r="CO1" s="2" t="str">
        <f>IF('emission sources'!$A93&lt;&gt;"",'emission sources'!$A93,"")</f>
        <v/>
      </c>
      <c r="CP1" s="2" t="str">
        <f>IF('emission sources'!$A94&lt;&gt;"",'emission sources'!$A94,"")</f>
        <v/>
      </c>
      <c r="CQ1" s="2" t="str">
        <f>IF('emission sources'!$A95&lt;&gt;"",'emission sources'!$A95,"")</f>
        <v/>
      </c>
      <c r="CR1" s="2" t="str">
        <f>IF('emission sources'!$A96&lt;&gt;"",'emission sources'!$A96,"")</f>
        <v/>
      </c>
      <c r="CS1" s="2" t="str">
        <f>IF('emission sources'!$A97&lt;&gt;"",'emission sources'!$A97,"")</f>
        <v/>
      </c>
      <c r="CT1" s="2" t="str">
        <f>IF('emission sources'!$A98&lt;&gt;"",'emission sources'!$A98,"")</f>
        <v/>
      </c>
      <c r="CU1" s="2" t="str">
        <f>IF('emission sources'!$A99&lt;&gt;"",'emission sources'!$A99,"")</f>
        <v/>
      </c>
      <c r="CV1" s="2" t="str">
        <f>IF('emission sources'!$A100&lt;&gt;"",'emission sources'!$A100,"")</f>
        <v/>
      </c>
      <c r="CW1" s="2" t="str">
        <f>IF('emission sources'!$A101&lt;&gt;"",'emission sources'!$A101,"")</f>
        <v/>
      </c>
      <c r="CX1" s="2" t="str">
        <f>IF('emission sources'!$A102&lt;&gt;"",'emission sources'!$A102,"")</f>
        <v/>
      </c>
      <c r="CY1" s="2" t="str">
        <f>IF('emission sources'!$A103&lt;&gt;"",'emission sources'!$A103,"")</f>
        <v/>
      </c>
      <c r="CZ1" s="2" t="str">
        <f>IF('emission sources'!$A104&lt;&gt;"",'emission sources'!$A104,"")</f>
        <v/>
      </c>
      <c r="DA1" s="2" t="str">
        <f>IF('emission sources'!$A105&lt;&gt;"",'emission sources'!$A105,"")</f>
        <v/>
      </c>
      <c r="DB1" s="2" t="str">
        <f>IF('emission sources'!$A106&lt;&gt;"",'emission sources'!$A106,"")</f>
        <v/>
      </c>
      <c r="DC1" s="2" t="str">
        <f>IF('emission sources'!$A107&lt;&gt;"",'emission sources'!$A107,"")</f>
        <v/>
      </c>
      <c r="DD1" s="2" t="str">
        <f>IF('emission sources'!$A108&lt;&gt;"",'emission sources'!$A108,"")</f>
        <v/>
      </c>
      <c r="DE1" s="2" t="str">
        <f>IF('emission sources'!$A109&lt;&gt;"",'emission sources'!$A109,"")</f>
        <v/>
      </c>
      <c r="DF1" s="2" t="str">
        <f>IF('emission sources'!$A110&lt;&gt;"",'emission sources'!$A110,"")</f>
        <v/>
      </c>
      <c r="DG1" s="2" t="str">
        <f>IF('emission sources'!$A111&lt;&gt;"",'emission sources'!$A111,"")</f>
        <v/>
      </c>
      <c r="DH1" s="2" t="str">
        <f>IF('emission sources'!$A112&lt;&gt;"",'emission sources'!$A112,"")</f>
        <v/>
      </c>
      <c r="DI1" s="2" t="str">
        <f>IF('emission sources'!$A113&lt;&gt;"",'emission sources'!$A113,"")</f>
        <v/>
      </c>
      <c r="DJ1" s="2" t="str">
        <f>IF('emission sources'!$A114&lt;&gt;"",'emission sources'!$A114,"")</f>
        <v/>
      </c>
      <c r="DK1" s="2" t="str">
        <f>IF('emission sources'!$A115&lt;&gt;"",'emission sources'!$A115,"")</f>
        <v/>
      </c>
      <c r="DL1" s="2" t="str">
        <f>IF('emission sources'!$A116&lt;&gt;"",'emission sources'!$A116,"")</f>
        <v/>
      </c>
      <c r="DM1" s="2" t="str">
        <f>IF('emission sources'!$A117&lt;&gt;"",'emission sources'!$A117,"")</f>
        <v/>
      </c>
      <c r="DN1" s="2" t="str">
        <f>IF('emission sources'!$A118&lt;&gt;"",'emission sources'!$A118,"")</f>
        <v/>
      </c>
      <c r="DO1" s="2" t="str">
        <f>IF('emission sources'!$A119&lt;&gt;"",'emission sources'!$A119,"")</f>
        <v/>
      </c>
      <c r="DP1" s="2" t="str">
        <f>IF('emission sources'!$A120&lt;&gt;"",'emission sources'!$A120,"")</f>
        <v/>
      </c>
      <c r="DQ1" s="2" t="str">
        <f>IF('emission sources'!$A121&lt;&gt;"",'emission sources'!$A121,"")</f>
        <v/>
      </c>
      <c r="DR1" s="2" t="str">
        <f>IF('emission sources'!$A122&lt;&gt;"",'emission sources'!$A122,"")</f>
        <v/>
      </c>
      <c r="DS1" s="2" t="str">
        <f>IF('emission sources'!$A123&lt;&gt;"",'emission sources'!$A123,"")</f>
        <v/>
      </c>
      <c r="DT1" s="2" t="str">
        <f>IF('emission sources'!$A124&lt;&gt;"",'emission sources'!$A124,"")</f>
        <v/>
      </c>
      <c r="DU1" s="2" t="str">
        <f>IF('emission sources'!$A125&lt;&gt;"",'emission sources'!$A125,"")</f>
        <v/>
      </c>
      <c r="DV1" s="2" t="str">
        <f>IF('emission sources'!$A126&lt;&gt;"",'emission sources'!$A126,"")</f>
        <v/>
      </c>
      <c r="DW1" s="2" t="str">
        <f>IF('emission sources'!$A127&lt;&gt;"",'emission sources'!$A127,"")</f>
        <v/>
      </c>
      <c r="DX1" s="2" t="str">
        <f>IF('emission sources'!$A128&lt;&gt;"",'emission sources'!$A128,"")</f>
        <v/>
      </c>
      <c r="DY1" s="2" t="str">
        <f>IF('emission sources'!$A129&lt;&gt;"",'emission sources'!$A129,"")</f>
        <v/>
      </c>
      <c r="DZ1" s="2" t="str">
        <f>IF('emission sources'!$A130&lt;&gt;"",'emission sources'!$A130,"")</f>
        <v/>
      </c>
      <c r="EA1" s="2" t="str">
        <f>IF('emission sources'!$A131&lt;&gt;"",'emission sources'!$A131,"")</f>
        <v/>
      </c>
      <c r="EB1" s="2" t="str">
        <f>IF('emission sources'!$A132&lt;&gt;"",'emission sources'!$A132,"")</f>
        <v/>
      </c>
      <c r="EC1" s="2" t="str">
        <f>IF('emission sources'!$A133&lt;&gt;"",'emission sources'!$A133,"")</f>
        <v/>
      </c>
      <c r="ED1" s="2" t="str">
        <f>IF('emission sources'!$A134&lt;&gt;"",'emission sources'!$A134,"")</f>
        <v/>
      </c>
      <c r="EE1" s="2" t="str">
        <f>IF('emission sources'!$A135&lt;&gt;"",'emission sources'!$A135,"")</f>
        <v/>
      </c>
      <c r="EF1" s="2" t="str">
        <f>IF('emission sources'!$A136&lt;&gt;"",'emission sources'!$A136,"")</f>
        <v/>
      </c>
      <c r="EG1" s="2" t="str">
        <f>IF('emission sources'!$A137&lt;&gt;"",'emission sources'!$A137,"")</f>
        <v/>
      </c>
      <c r="EH1" s="2" t="str">
        <f>IF('emission sources'!$A138&lt;&gt;"",'emission sources'!$A138,"")</f>
        <v/>
      </c>
      <c r="EI1" s="2" t="str">
        <f>IF('emission sources'!$A139&lt;&gt;"",'emission sources'!$A139,"")</f>
        <v/>
      </c>
      <c r="EJ1" s="2" t="str">
        <f>IF('emission sources'!$A140&lt;&gt;"",'emission sources'!$A140,"")</f>
        <v/>
      </c>
      <c r="EK1" s="2" t="str">
        <f>IF('emission sources'!$A141&lt;&gt;"",'emission sources'!$A141,"")</f>
        <v/>
      </c>
      <c r="EL1" s="2" t="str">
        <f>IF('emission sources'!$A142&lt;&gt;"",'emission sources'!$A142,"")</f>
        <v/>
      </c>
      <c r="EM1" s="2" t="str">
        <f>IF('emission sources'!$A143&lt;&gt;"",'emission sources'!$A143,"")</f>
        <v/>
      </c>
      <c r="EN1" s="2" t="str">
        <f>IF('emission sources'!$A144&lt;&gt;"",'emission sources'!$A144,"")</f>
        <v/>
      </c>
      <c r="EO1" s="2" t="str">
        <f>IF('emission sources'!$A145&lt;&gt;"",'emission sources'!$A145,"")</f>
        <v/>
      </c>
      <c r="EP1" s="2" t="str">
        <f>IF('emission sources'!$A146&lt;&gt;"",'emission sources'!$A146,"")</f>
        <v/>
      </c>
      <c r="EQ1" s="2" t="str">
        <f>IF('emission sources'!$A147&lt;&gt;"",'emission sources'!$A147,"")</f>
        <v/>
      </c>
      <c r="ER1" s="2" t="str">
        <f>IF('emission sources'!$A148&lt;&gt;"",'emission sources'!$A148,"")</f>
        <v/>
      </c>
      <c r="ES1" s="2" t="str">
        <f>IF('emission sources'!$A149&lt;&gt;"",'emission sources'!$A149,"")</f>
        <v/>
      </c>
      <c r="ET1" s="2" t="str">
        <f>IF('emission sources'!$A150&lt;&gt;"",'emission sources'!$A150,"")</f>
        <v/>
      </c>
      <c r="EU1" s="2" t="str">
        <f>IF('emission sources'!$A151&lt;&gt;"",'emission sources'!$A151,"")</f>
        <v/>
      </c>
      <c r="EV1" s="2" t="str">
        <f>IF('emission sources'!$A152&lt;&gt;"",'emission sources'!$A152,"")</f>
        <v/>
      </c>
      <c r="EW1" s="2" t="str">
        <f>IF('emission sources'!$A153&lt;&gt;"",'emission sources'!$A153,"")</f>
        <v/>
      </c>
      <c r="EX1" s="2" t="str">
        <f>IF('emission sources'!$A154&lt;&gt;"",'emission sources'!$A154,"")</f>
        <v/>
      </c>
      <c r="EY1" s="2" t="str">
        <f>IF('emission sources'!$A155&lt;&gt;"",'emission sources'!$A155,"")</f>
        <v/>
      </c>
      <c r="EZ1" s="2" t="str">
        <f>IF('emission sources'!$A156&lt;&gt;"",'emission sources'!$A156,"")</f>
        <v/>
      </c>
      <c r="FA1" s="2" t="str">
        <f>IF('emission sources'!$A157&lt;&gt;"",'emission sources'!$A157,"")</f>
        <v/>
      </c>
      <c r="FB1" s="2" t="str">
        <f>IF('emission sources'!$A158&lt;&gt;"",'emission sources'!$A158,"")</f>
        <v/>
      </c>
      <c r="FC1" s="2" t="str">
        <f>IF('emission sources'!$A159&lt;&gt;"",'emission sources'!$A159,"")</f>
        <v/>
      </c>
      <c r="FD1" s="2" t="str">
        <f>IF('emission sources'!$A160&lt;&gt;"",'emission sources'!$A160,"")</f>
        <v/>
      </c>
      <c r="FE1" s="2" t="str">
        <f>IF('emission sources'!$A161&lt;&gt;"",'emission sources'!$A161,"")</f>
        <v/>
      </c>
      <c r="FF1" s="2" t="str">
        <f>IF('emission sources'!$A162&lt;&gt;"",'emission sources'!$A162,"")</f>
        <v/>
      </c>
      <c r="FG1" s="2" t="str">
        <f>IF('emission sources'!$A163&lt;&gt;"",'emission sources'!$A163,"")</f>
        <v/>
      </c>
      <c r="FH1" s="2" t="str">
        <f>IF('emission sources'!$A164&lt;&gt;"",'emission sources'!$A164,"")</f>
        <v/>
      </c>
      <c r="FI1" s="2" t="str">
        <f>IF('emission sources'!$A165&lt;&gt;"",'emission sources'!$A165,"")</f>
        <v/>
      </c>
      <c r="FJ1" s="2" t="str">
        <f>IF('emission sources'!$A166&lt;&gt;"",'emission sources'!$A166,"")</f>
        <v/>
      </c>
      <c r="FK1" s="2" t="str">
        <f>IF('emission sources'!$A167&lt;&gt;"",'emission sources'!$A167,"")</f>
        <v/>
      </c>
      <c r="FL1" s="2" t="str">
        <f>IF('emission sources'!$A168&lt;&gt;"",'emission sources'!$A168,"")</f>
        <v/>
      </c>
      <c r="FM1" s="2" t="str">
        <f>IF('emission sources'!$A169&lt;&gt;"",'emission sources'!$A169,"")</f>
        <v/>
      </c>
      <c r="FN1" s="2" t="str">
        <f>IF('emission sources'!$A170&lt;&gt;"",'emission sources'!$A170,"")</f>
        <v/>
      </c>
      <c r="FO1" s="2" t="str">
        <f>IF('emission sources'!$A171&lt;&gt;"",'emission sources'!$A171,"")</f>
        <v/>
      </c>
      <c r="FP1" s="2" t="str">
        <f>IF('emission sources'!$A172&lt;&gt;"",'emission sources'!$A172,"")</f>
        <v/>
      </c>
      <c r="FQ1" s="2" t="str">
        <f>IF('emission sources'!$A173&lt;&gt;"",'emission sources'!$A173,"")</f>
        <v/>
      </c>
      <c r="FR1" s="2" t="str">
        <f>IF('emission sources'!$A174&lt;&gt;"",'emission sources'!$A174,"")</f>
        <v/>
      </c>
      <c r="FS1" s="2" t="str">
        <f>IF('emission sources'!$A175&lt;&gt;"",'emission sources'!$A175,"")</f>
        <v/>
      </c>
      <c r="FT1" s="2" t="str">
        <f>IF('emission sources'!$A176&lt;&gt;"",'emission sources'!$A176,"")</f>
        <v/>
      </c>
      <c r="FU1" s="2" t="str">
        <f>IF('emission sources'!$A177&lt;&gt;"",'emission sources'!$A177,"")</f>
        <v/>
      </c>
      <c r="FV1" s="2" t="str">
        <f>IF('emission sources'!$A178&lt;&gt;"",'emission sources'!$A178,"")</f>
        <v/>
      </c>
      <c r="FW1" s="2" t="str">
        <f>IF('emission sources'!$A179&lt;&gt;"",'emission sources'!$A179,"")</f>
        <v/>
      </c>
      <c r="FX1" s="2" t="str">
        <f>IF('emission sources'!$A180&lt;&gt;"",'emission sources'!$A180,"")</f>
        <v/>
      </c>
      <c r="FY1" s="2" t="str">
        <f>IF('emission sources'!$A181&lt;&gt;"",'emission sources'!$A181,"")</f>
        <v/>
      </c>
      <c r="FZ1" s="2" t="str">
        <f>IF('emission sources'!$A182&lt;&gt;"",'emission sources'!$A182,"")</f>
        <v/>
      </c>
      <c r="GA1" s="2" t="str">
        <f>IF('emission sources'!$A183&lt;&gt;"",'emission sources'!$A183,"")</f>
        <v/>
      </c>
      <c r="GB1" s="2" t="str">
        <f>IF('emission sources'!$A184&lt;&gt;"",'emission sources'!$A184,"")</f>
        <v/>
      </c>
      <c r="GC1" s="2" t="str">
        <f>IF('emission sources'!$A185&lt;&gt;"",'emission sources'!$A185,"")</f>
        <v/>
      </c>
      <c r="GD1" s="2" t="str">
        <f>IF('emission sources'!$A186&lt;&gt;"",'emission sources'!$A186,"")</f>
        <v/>
      </c>
      <c r="GE1" s="2" t="str">
        <f>IF('emission sources'!$A187&lt;&gt;"",'emission sources'!$A187,"")</f>
        <v/>
      </c>
      <c r="GF1" s="2" t="str">
        <f>IF('emission sources'!$A188&lt;&gt;"",'emission sources'!$A188,"")</f>
        <v/>
      </c>
      <c r="GG1" s="2" t="str">
        <f>IF('emission sources'!$A189&lt;&gt;"",'emission sources'!$A189,"")</f>
        <v/>
      </c>
      <c r="GH1" s="2" t="str">
        <f>IF('emission sources'!$A190&lt;&gt;"",'emission sources'!$A190,"")</f>
        <v/>
      </c>
      <c r="GI1" s="2" t="str">
        <f>IF('emission sources'!$A191&lt;&gt;"",'emission sources'!$A191,"")</f>
        <v/>
      </c>
      <c r="GJ1" s="2" t="str">
        <f>IF('emission sources'!$A192&lt;&gt;"",'emission sources'!$A192,"")</f>
        <v/>
      </c>
      <c r="GK1" s="2" t="str">
        <f>IF('emission sources'!$A193&lt;&gt;"",'emission sources'!$A193,"")</f>
        <v/>
      </c>
      <c r="GL1" s="2" t="str">
        <f>IF('emission sources'!$A194&lt;&gt;"",'emission sources'!$A194,"")</f>
        <v/>
      </c>
      <c r="GM1" s="2" t="str">
        <f>IF('emission sources'!$A195&lt;&gt;"",'emission sources'!$A195,"")</f>
        <v/>
      </c>
      <c r="GN1" s="2" t="str">
        <f>IF('emission sources'!$A196&lt;&gt;"",'emission sources'!$A196,"")</f>
        <v/>
      </c>
      <c r="GO1" s="2" t="str">
        <f>IF('emission sources'!$A197&lt;&gt;"",'emission sources'!$A197,"")</f>
        <v/>
      </c>
      <c r="GP1" s="2" t="str">
        <f>IF('emission sources'!$A198&lt;&gt;"",'emission sources'!$A198,"")</f>
        <v/>
      </c>
      <c r="GQ1" s="2" t="str">
        <f>IF('emission sources'!$A199&lt;&gt;"",'emission sources'!$A199,"")</f>
        <v/>
      </c>
      <c r="GR1" s="2" t="str">
        <f>IF('emission sources'!$A200&lt;&gt;"",'emission sources'!$A200,"")</f>
        <v/>
      </c>
      <c r="GS1" s="2" t="str">
        <f>IF('emission sources'!$A201&lt;&gt;"",'emission sources'!$A201,"")</f>
        <v/>
      </c>
      <c r="GT1" s="2" t="str">
        <f>IF('emission sources'!$A202&lt;&gt;"",'emission sources'!$A202,"")</f>
        <v/>
      </c>
      <c r="GU1" s="2" t="str">
        <f>IF('emission sources'!$A203&lt;&gt;"",'emission sources'!$A203,"")</f>
        <v/>
      </c>
      <c r="GV1" s="2" t="str">
        <f>IF('emission sources'!$A204&lt;&gt;"",'emission sources'!$A204,"")</f>
        <v/>
      </c>
      <c r="GW1" s="2" t="str">
        <f>IF('emission sources'!$A205&lt;&gt;"",'emission sources'!$A205,"")</f>
        <v/>
      </c>
      <c r="GX1" s="2" t="str">
        <f>IF('emission sources'!$A206&lt;&gt;"",'emission sources'!$A206,"")</f>
        <v/>
      </c>
      <c r="GY1" s="2" t="str">
        <f>IF('emission sources'!$A207&lt;&gt;"",'emission sources'!$A207,"")</f>
        <v/>
      </c>
      <c r="GZ1" s="2" t="str">
        <f>IF('emission sources'!$A208&lt;&gt;"",'emission sources'!$A208,"")</f>
        <v/>
      </c>
      <c r="HA1" s="2" t="str">
        <f>IF('emission sources'!$A209&lt;&gt;"",'emission sources'!$A209,"")</f>
        <v/>
      </c>
      <c r="HB1" s="2" t="str">
        <f>IF('emission sources'!$A210&lt;&gt;"",'emission sources'!$A210,"")</f>
        <v/>
      </c>
      <c r="HC1" s="2" t="str">
        <f>IF('emission sources'!$A211&lt;&gt;"",'emission sources'!$A211,"")</f>
        <v/>
      </c>
      <c r="HD1" s="2" t="str">
        <f>IF('emission sources'!$A212&lt;&gt;"",'emission sources'!$A212,"")</f>
        <v/>
      </c>
      <c r="HE1" s="2" t="str">
        <f>IF('emission sources'!$A213&lt;&gt;"",'emission sources'!$A213,"")</f>
        <v/>
      </c>
      <c r="HF1" s="2" t="str">
        <f>IF('emission sources'!$A214&lt;&gt;"",'emission sources'!$A214,"")</f>
        <v/>
      </c>
      <c r="HG1" s="2" t="str">
        <f>IF('emission sources'!$A215&lt;&gt;"",'emission sources'!$A215,"")</f>
        <v/>
      </c>
      <c r="HH1" s="2" t="str">
        <f>IF('emission sources'!$A216&lt;&gt;"",'emission sources'!$A216,"")</f>
        <v/>
      </c>
      <c r="HI1" s="2" t="str">
        <f>IF('emission sources'!$A217&lt;&gt;"",'emission sources'!$A217,"")</f>
        <v/>
      </c>
      <c r="HJ1" s="2" t="str">
        <f>IF('emission sources'!$A218&lt;&gt;"",'emission sources'!$A218,"")</f>
        <v/>
      </c>
      <c r="HK1" s="2" t="str">
        <f>IF('emission sources'!$A219&lt;&gt;"",'emission sources'!$A219,"")</f>
        <v/>
      </c>
      <c r="HL1" s="2" t="str">
        <f>IF('emission sources'!$A220&lt;&gt;"",'emission sources'!$A220,"")</f>
        <v/>
      </c>
      <c r="HM1" s="2" t="str">
        <f>IF('emission sources'!$A221&lt;&gt;"",'emission sources'!$A221,"")</f>
        <v/>
      </c>
      <c r="HN1" s="2" t="str">
        <f>IF('emission sources'!$A222&lt;&gt;"",'emission sources'!$A222,"")</f>
        <v/>
      </c>
      <c r="HO1" s="2" t="str">
        <f>IF('emission sources'!$A223&lt;&gt;"",'emission sources'!$A223,"")</f>
        <v/>
      </c>
      <c r="HP1" s="2" t="str">
        <f>IF('emission sources'!$A224&lt;&gt;"",'emission sources'!$A224,"")</f>
        <v/>
      </c>
      <c r="HQ1" s="2" t="str">
        <f>IF('emission sources'!$A225&lt;&gt;"",'emission sources'!$A225,"")</f>
        <v/>
      </c>
      <c r="HR1" s="2" t="str">
        <f>IF('emission sources'!$A226&lt;&gt;"",'emission sources'!$A226,"")</f>
        <v/>
      </c>
      <c r="HS1" s="2" t="str">
        <f>IF('emission sources'!$A227&lt;&gt;"",'emission sources'!$A227,"")</f>
        <v/>
      </c>
      <c r="HT1" s="2" t="str">
        <f>IF('emission sources'!$A228&lt;&gt;"",'emission sources'!$A228,"")</f>
        <v/>
      </c>
      <c r="HU1" s="2" t="str">
        <f>IF('emission sources'!$A229&lt;&gt;"",'emission sources'!$A229,"")</f>
        <v/>
      </c>
      <c r="HV1" s="2" t="str">
        <f>IF('emission sources'!$A230&lt;&gt;"",'emission sources'!$A230,"")</f>
        <v/>
      </c>
      <c r="HW1" s="2" t="str">
        <f>IF('emission sources'!$A231&lt;&gt;"",'emission sources'!$A231,"")</f>
        <v/>
      </c>
      <c r="HX1" s="2" t="str">
        <f>IF('emission sources'!$A232&lt;&gt;"",'emission sources'!$A232,"")</f>
        <v/>
      </c>
      <c r="HY1" s="2" t="str">
        <f>IF('emission sources'!$A233&lt;&gt;"",'emission sources'!$A233,"")</f>
        <v/>
      </c>
      <c r="HZ1" s="2" t="str">
        <f>IF('emission sources'!$A234&lt;&gt;"",'emission sources'!$A234,"")</f>
        <v/>
      </c>
      <c r="IA1" s="2" t="str">
        <f>IF('emission sources'!$A235&lt;&gt;"",'emission sources'!$A235,"")</f>
        <v/>
      </c>
      <c r="IB1" s="2" t="str">
        <f>IF('emission sources'!$A236&lt;&gt;"",'emission sources'!$A236,"")</f>
        <v/>
      </c>
      <c r="IC1" s="2" t="str">
        <f>IF('emission sources'!$A237&lt;&gt;"",'emission sources'!$A237,"")</f>
        <v/>
      </c>
      <c r="ID1" s="2" t="str">
        <f>IF('emission sources'!$A238&lt;&gt;"",'emission sources'!$A238,"")</f>
        <v/>
      </c>
      <c r="IE1" s="2" t="str">
        <f>IF('emission sources'!$A239&lt;&gt;"",'emission sources'!$A239,"")</f>
        <v/>
      </c>
      <c r="IF1" s="2" t="str">
        <f>IF('emission sources'!$A240&lt;&gt;"",'emission sources'!$A240,"")</f>
        <v/>
      </c>
      <c r="IG1" s="2" t="str">
        <f>IF('emission sources'!$A241&lt;&gt;"",'emission sources'!$A241,"")</f>
        <v/>
      </c>
      <c r="IH1" s="2" t="str">
        <f>IF('emission sources'!$A242&lt;&gt;"",'emission sources'!$A242,"")</f>
        <v/>
      </c>
      <c r="II1" s="2" t="str">
        <f>IF('emission sources'!$A243&lt;&gt;"",'emission sources'!$A243,"")</f>
        <v/>
      </c>
      <c r="IJ1" s="2" t="str">
        <f>IF('emission sources'!$A244&lt;&gt;"",'emission sources'!$A244,"")</f>
        <v/>
      </c>
      <c r="IK1" s="2" t="str">
        <f>IF('emission sources'!$A245&lt;&gt;"",'emission sources'!$A245,"")</f>
        <v/>
      </c>
      <c r="IL1" s="2" t="str">
        <f>IF('emission sources'!$A246&lt;&gt;"",'emission sources'!$A246,"")</f>
        <v/>
      </c>
      <c r="IM1" s="2" t="str">
        <f>IF('emission sources'!$A247&lt;&gt;"",'emission sources'!$A247,"")</f>
        <v/>
      </c>
      <c r="IN1" s="2" t="str">
        <f>IF('emission sources'!$A248&lt;&gt;"",'emission sources'!$A248,"")</f>
        <v/>
      </c>
      <c r="IO1" s="2" t="str">
        <f>IF('emission sources'!$A249&lt;&gt;"",'emission sources'!$A249,"")</f>
        <v/>
      </c>
      <c r="IP1" s="2" t="str">
        <f>IF('emission sources'!$A250&lt;&gt;"",'emission sources'!$A250,"")</f>
        <v/>
      </c>
      <c r="IQ1" s="2" t="str">
        <f>IF('emission sources'!$A251&lt;&gt;"",'emission sources'!$A251,"")</f>
        <v/>
      </c>
      <c r="IR1" s="2" t="str">
        <f>IF('emission sources'!$A252&lt;&gt;"",'emission sources'!$A252,"")</f>
        <v/>
      </c>
      <c r="IS1" s="2" t="str">
        <f>IF('emission sources'!$A253&lt;&gt;"",'emission sources'!$A253,"")</f>
        <v/>
      </c>
      <c r="IT1" s="2" t="str">
        <f>IF('emission sources'!$A254&lt;&gt;"",'emission sources'!$A254,"")</f>
        <v/>
      </c>
      <c r="IU1" s="2" t="str">
        <f>IF('emission sources'!$A255&lt;&gt;"",'emission sources'!$A255,"")</f>
        <v/>
      </c>
      <c r="IV1" s="2" t="str">
        <f>IF('emission sources'!$A256&lt;&gt;"",'emission sources'!$A256,"")</f>
        <v/>
      </c>
      <c r="IW1" s="2" t="str">
        <f>IF('emission sources'!$A257&lt;&gt;"",'emission sources'!$A257,"")</f>
        <v/>
      </c>
      <c r="IX1" s="2" t="str">
        <f>IF('emission sources'!$A258&lt;&gt;"",'emission sources'!$A258,"")</f>
        <v/>
      </c>
      <c r="IY1" s="2" t="str">
        <f>IF('emission sources'!$A259&lt;&gt;"",'emission sources'!$A259,"")</f>
        <v/>
      </c>
      <c r="IZ1" s="2" t="str">
        <f>IF('emission sources'!$A260&lt;&gt;"",'emission sources'!$A260,"")</f>
        <v/>
      </c>
      <c r="JA1" s="2" t="str">
        <f>IF('emission sources'!$A261&lt;&gt;"",'emission sources'!$A261,"")</f>
        <v/>
      </c>
      <c r="JB1" s="2" t="str">
        <f>IF('emission sources'!$A262&lt;&gt;"",'emission sources'!$A262,"")</f>
        <v/>
      </c>
      <c r="JC1" s="2" t="str">
        <f>IF('emission sources'!$A263&lt;&gt;"",'emission sources'!$A263,"")</f>
        <v/>
      </c>
      <c r="JD1" s="2" t="str">
        <f>IF('emission sources'!$A264&lt;&gt;"",'emission sources'!$A264,"")</f>
        <v/>
      </c>
      <c r="JE1" s="2" t="str">
        <f>IF('emission sources'!$A265&lt;&gt;"",'emission sources'!$A265,"")</f>
        <v/>
      </c>
      <c r="JF1" s="2" t="str">
        <f>IF('emission sources'!$A266&lt;&gt;"",'emission sources'!$A266,"")</f>
        <v/>
      </c>
      <c r="JG1" s="2" t="str">
        <f>IF('emission sources'!$A267&lt;&gt;"",'emission sources'!$A267,"")</f>
        <v/>
      </c>
      <c r="JH1" s="2" t="str">
        <f>IF('emission sources'!$A268&lt;&gt;"",'emission sources'!$A268,"")</f>
        <v/>
      </c>
      <c r="JI1" s="2" t="str">
        <f>IF('emission sources'!$A269&lt;&gt;"",'emission sources'!$A269,"")</f>
        <v/>
      </c>
      <c r="JJ1" s="2" t="str">
        <f>IF('emission sources'!$A270&lt;&gt;"",'emission sources'!$A270,"")</f>
        <v/>
      </c>
      <c r="JK1" s="2" t="str">
        <f>IF('emission sources'!$A271&lt;&gt;"",'emission sources'!$A271,"")</f>
        <v/>
      </c>
      <c r="JL1" s="2" t="str">
        <f>IF('emission sources'!$A272&lt;&gt;"",'emission sources'!$A272,"")</f>
        <v/>
      </c>
      <c r="JM1" s="2" t="str">
        <f>IF('emission sources'!$A273&lt;&gt;"",'emission sources'!$A273,"")</f>
        <v/>
      </c>
      <c r="JN1" s="2" t="str">
        <f>IF('emission sources'!$A274&lt;&gt;"",'emission sources'!$A274,"")</f>
        <v/>
      </c>
      <c r="JO1" s="2" t="str">
        <f>IF('emission sources'!$A275&lt;&gt;"",'emission sources'!$A275,"")</f>
        <v/>
      </c>
      <c r="JP1" s="2" t="str">
        <f>IF('emission sources'!$A276&lt;&gt;"",'emission sources'!$A276,"")</f>
        <v/>
      </c>
      <c r="JQ1" s="2" t="str">
        <f>IF('emission sources'!$A277&lt;&gt;"",'emission sources'!$A277,"")</f>
        <v/>
      </c>
      <c r="JR1" s="2" t="str">
        <f>IF('emission sources'!$A278&lt;&gt;"",'emission sources'!$A278,"")</f>
        <v/>
      </c>
      <c r="JS1" s="2" t="str">
        <f>IF('emission sources'!$A279&lt;&gt;"",'emission sources'!$A279,"")</f>
        <v/>
      </c>
      <c r="JT1" s="2" t="str">
        <f>IF('emission sources'!$A280&lt;&gt;"",'emission sources'!$A280,"")</f>
        <v/>
      </c>
      <c r="JU1" s="2" t="str">
        <f>IF('emission sources'!$A281&lt;&gt;"",'emission sources'!$A281,"")</f>
        <v/>
      </c>
      <c r="JV1" s="2" t="str">
        <f>IF('emission sources'!$A282&lt;&gt;"",'emission sources'!$A282,"")</f>
        <v/>
      </c>
      <c r="JW1" s="2" t="str">
        <f>IF('emission sources'!$A283&lt;&gt;"",'emission sources'!$A283,"")</f>
        <v/>
      </c>
      <c r="JX1" s="2" t="str">
        <f>IF('emission sources'!$A284&lt;&gt;"",'emission sources'!$A284,"")</f>
        <v/>
      </c>
      <c r="JY1" s="2" t="str">
        <f>IF('emission sources'!$A285&lt;&gt;"",'emission sources'!$A285,"")</f>
        <v/>
      </c>
      <c r="JZ1" s="2" t="str">
        <f>IF('emission sources'!$A286&lt;&gt;"",'emission sources'!$A286,"")</f>
        <v/>
      </c>
      <c r="KA1" s="2" t="str">
        <f>IF('emission sources'!$A287&lt;&gt;"",'emission sources'!$A287,"")</f>
        <v/>
      </c>
      <c r="KB1" s="2" t="str">
        <f>IF('emission sources'!$A288&lt;&gt;"",'emission sources'!$A288,"")</f>
        <v/>
      </c>
    </row>
    <row r="2" spans="1:288" x14ac:dyDescent="0.35">
      <c r="A2" s="2" t="str">
        <f>IF(interventions!$A2&lt;&gt;"",interventions!$A2,"")</f>
        <v>solar_system1</v>
      </c>
      <c r="B2" s="4" t="s">
        <v>4</v>
      </c>
      <c r="C2" s="4" t="s">
        <v>4</v>
      </c>
      <c r="D2" s="4"/>
      <c r="E2" s="4"/>
      <c r="F2" s="4"/>
      <c r="G2" s="4"/>
      <c r="H2" s="4"/>
      <c r="I2" s="4"/>
    </row>
    <row r="3" spans="1:288" x14ac:dyDescent="0.35">
      <c r="A3" s="2" t="str">
        <f>IF(interventions!$A3&lt;&gt;"",interventions!$A3,"")</f>
        <v>led_light1</v>
      </c>
      <c r="B3" s="4"/>
      <c r="C3" s="4" t="s">
        <v>4</v>
      </c>
      <c r="D3" s="4"/>
      <c r="E3" s="4"/>
      <c r="F3" s="4"/>
      <c r="G3" s="4"/>
      <c r="H3" s="4"/>
      <c r="I3" s="4"/>
    </row>
    <row r="4" spans="1:288" x14ac:dyDescent="0.35">
      <c r="A4" s="2" t="str">
        <f>IF(interventions!$A4&lt;&gt;"",interventions!$A4,"")</f>
        <v>energy_efficient_fridge1</v>
      </c>
      <c r="B4" s="4" t="s">
        <v>4</v>
      </c>
      <c r="C4" s="4"/>
      <c r="D4" s="4"/>
      <c r="E4" s="4"/>
      <c r="F4" s="4"/>
      <c r="G4" s="4"/>
      <c r="H4" s="4"/>
      <c r="I4" s="4"/>
    </row>
    <row r="5" spans="1:288" x14ac:dyDescent="0.35">
      <c r="A5" s="2" t="str">
        <f>IF(interventions!$A5&lt;&gt;"",interventions!$A5,"")</f>
        <v>energy_efficient_fridge_multi5</v>
      </c>
      <c r="B5" s="4" t="s">
        <v>4</v>
      </c>
      <c r="C5" s="4"/>
      <c r="D5" s="4"/>
      <c r="E5" s="4"/>
      <c r="F5" s="4"/>
      <c r="G5" s="4"/>
      <c r="H5" s="4"/>
      <c r="I5" s="4"/>
    </row>
    <row r="6" spans="1:288" x14ac:dyDescent="0.35">
      <c r="A6" s="2" t="str">
        <f>IF(interventions!$A6&lt;&gt;"",interventions!$A6,"")</f>
        <v>laundry_machine</v>
      </c>
      <c r="B6" s="4" t="s">
        <v>4</v>
      </c>
      <c r="C6" s="4"/>
      <c r="D6" s="4"/>
      <c r="E6" s="4"/>
      <c r="F6" s="4"/>
      <c r="G6" s="4"/>
      <c r="H6" s="4"/>
      <c r="I6" s="4"/>
    </row>
    <row r="7" spans="1:288" x14ac:dyDescent="0.35">
      <c r="A7" s="2" t="str">
        <f>IF(interventions!$A7&lt;&gt;"",interventions!$A7,"")</f>
        <v>energy_efficient_ac_multi1</v>
      </c>
      <c r="B7" s="4"/>
      <c r="C7" s="4"/>
      <c r="D7" s="4"/>
      <c r="E7" s="4"/>
      <c r="F7" s="4"/>
      <c r="G7" s="4"/>
      <c r="H7" s="4"/>
      <c r="I7" s="4" t="s">
        <v>79</v>
      </c>
    </row>
    <row r="8" spans="1:288" x14ac:dyDescent="0.35">
      <c r="A8" s="2" t="str">
        <f>IF(interventions!$A8&lt;&gt;"",interventions!$A8,"")</f>
        <v>energy_efficient_ac_multi5</v>
      </c>
      <c r="B8" s="4"/>
      <c r="C8" s="4"/>
      <c r="D8" s="4"/>
      <c r="E8" s="4"/>
      <c r="F8" s="4"/>
      <c r="G8" s="4"/>
      <c r="H8" s="4"/>
      <c r="I8" s="4" t="s">
        <v>79</v>
      </c>
    </row>
    <row r="9" spans="1:288" x14ac:dyDescent="0.35">
      <c r="A9" s="2" t="str">
        <f>IF(interventions!$A9&lt;&gt;"",interventions!$A9,"")</f>
        <v>energy_efficient_ac_multi10</v>
      </c>
      <c r="B9" s="4"/>
      <c r="C9" s="4"/>
      <c r="D9" s="4"/>
      <c r="E9" s="4"/>
      <c r="F9" s="4"/>
      <c r="G9" s="4"/>
      <c r="H9" s="4"/>
      <c r="I9" s="4" t="s">
        <v>79</v>
      </c>
    </row>
    <row r="10" spans="1:288" x14ac:dyDescent="0.35">
      <c r="A10" s="2" t="str">
        <f>IF(interventions!$A10&lt;&gt;"",interventions!$A10,"")</f>
        <v>tree_planting_multi100</v>
      </c>
      <c r="B10" s="4" t="s">
        <v>4</v>
      </c>
      <c r="C10" s="4" t="s">
        <v>4</v>
      </c>
      <c r="D10" s="4" t="s">
        <v>4</v>
      </c>
      <c r="E10" s="4" t="s">
        <v>4</v>
      </c>
      <c r="F10" s="4" t="s">
        <v>4</v>
      </c>
      <c r="G10" s="4" t="s">
        <v>4</v>
      </c>
      <c r="H10" s="4" t="s">
        <v>4</v>
      </c>
      <c r="I10" s="4" t="s">
        <v>4</v>
      </c>
      <c r="J10" s="4" t="s">
        <v>4</v>
      </c>
      <c r="K10" s="4" t="s">
        <v>4</v>
      </c>
      <c r="L10" s="4" t="s">
        <v>4</v>
      </c>
    </row>
    <row r="11" spans="1:288" x14ac:dyDescent="0.35">
      <c r="A11" s="2" t="str">
        <f>IF(interventions!$A11&lt;&gt;"",interventions!$A11,"")</f>
        <v>tree_planting_multi200</v>
      </c>
      <c r="B11" s="4" t="s">
        <v>4</v>
      </c>
      <c r="C11" s="4" t="s">
        <v>4</v>
      </c>
      <c r="D11" s="4" t="s">
        <v>4</v>
      </c>
      <c r="E11" s="4" t="s">
        <v>4</v>
      </c>
      <c r="F11" s="4" t="s">
        <v>4</v>
      </c>
      <c r="G11" s="4" t="s">
        <v>4</v>
      </c>
      <c r="H11" s="4" t="s">
        <v>4</v>
      </c>
      <c r="I11" s="4" t="s">
        <v>4</v>
      </c>
      <c r="J11" s="4" t="s">
        <v>4</v>
      </c>
      <c r="K11" s="4" t="s">
        <v>4</v>
      </c>
      <c r="L11" s="4" t="s">
        <v>4</v>
      </c>
    </row>
    <row r="12" spans="1:288" x14ac:dyDescent="0.35">
      <c r="A12" s="2" t="str">
        <f>IF(interventions!$A12&lt;&gt;"",interventions!$A12,"")</f>
        <v>waste_segregation</v>
      </c>
      <c r="B12" s="4"/>
      <c r="C12" s="4"/>
      <c r="D12" s="4"/>
      <c r="E12" s="4"/>
      <c r="F12" s="4"/>
      <c r="G12" s="4"/>
      <c r="H12" s="4"/>
      <c r="I12" s="4"/>
      <c r="J12" s="4"/>
      <c r="K12" s="4" t="s">
        <v>4</v>
      </c>
      <c r="L12" s="4"/>
    </row>
    <row r="13" spans="1:288" x14ac:dyDescent="0.35">
      <c r="A13" s="2" t="str">
        <f>IF(interventions!$A13&lt;&gt;"",interventions!$A13,"")</f>
        <v>staff_training_awareness</v>
      </c>
      <c r="B13" s="4" t="s">
        <v>4</v>
      </c>
      <c r="C13" s="4" t="s">
        <v>4</v>
      </c>
      <c r="D13" s="4" t="s">
        <v>4</v>
      </c>
      <c r="E13" s="4" t="s">
        <v>4</v>
      </c>
      <c r="F13" s="4" t="s">
        <v>4</v>
      </c>
      <c r="G13" s="4" t="s">
        <v>4</v>
      </c>
      <c r="H13" s="4" t="s">
        <v>4</v>
      </c>
      <c r="I13" s="4" t="s">
        <v>4</v>
      </c>
      <c r="J13" s="4" t="s">
        <v>4</v>
      </c>
      <c r="K13" s="4" t="s">
        <v>4</v>
      </c>
      <c r="L13" s="4" t="s">
        <v>4</v>
      </c>
    </row>
    <row r="14" spans="1:288" x14ac:dyDescent="0.35">
      <c r="A14" s="2" t="str">
        <f>IF(interventions!$A14&lt;&gt;"",interventions!$A14,"")</f>
        <v/>
      </c>
      <c r="B14" s="4"/>
      <c r="C14" s="4"/>
      <c r="D14" s="4"/>
      <c r="E14" s="4"/>
      <c r="F14" s="4"/>
      <c r="G14" s="4"/>
      <c r="H14" s="4"/>
      <c r="I14" s="4"/>
    </row>
    <row r="15" spans="1:288" x14ac:dyDescent="0.35">
      <c r="A15" s="2" t="str">
        <f>IF(interventions!$A15&lt;&gt;"",interventions!$A15,"")</f>
        <v/>
      </c>
      <c r="B15" s="4"/>
      <c r="C15" s="4"/>
      <c r="D15" s="4"/>
      <c r="E15" s="4"/>
      <c r="F15" s="4"/>
      <c r="G15" s="4"/>
      <c r="H15" s="4"/>
      <c r="I15" s="4"/>
    </row>
    <row r="16" spans="1:288" x14ac:dyDescent="0.35">
      <c r="A16" s="2" t="str">
        <f>IF(interventions!$A16&lt;&gt;"",interventions!$A16,"")</f>
        <v/>
      </c>
      <c r="B16" s="4"/>
      <c r="C16" s="4"/>
      <c r="D16" s="4"/>
      <c r="E16" s="4"/>
      <c r="F16" s="4"/>
      <c r="G16" s="4"/>
      <c r="H16" s="4"/>
      <c r="I16" s="4"/>
    </row>
    <row r="17" spans="1:9" x14ac:dyDescent="0.35">
      <c r="A17" s="2" t="str">
        <f>IF(interventions!$A17&lt;&gt;"",interventions!$A17,"")</f>
        <v/>
      </c>
      <c r="B17" s="4"/>
      <c r="C17" s="4"/>
      <c r="D17" s="4"/>
      <c r="E17" s="4"/>
      <c r="F17" s="4"/>
      <c r="G17" s="4"/>
      <c r="H17" s="4"/>
      <c r="I17" s="4"/>
    </row>
    <row r="18" spans="1:9" x14ac:dyDescent="0.35">
      <c r="A18" s="2" t="str">
        <f>IF(interventions!$A18&lt;&gt;"",interventions!$A18,"")</f>
        <v/>
      </c>
      <c r="B18" s="4"/>
      <c r="C18" s="4"/>
      <c r="D18" s="4"/>
      <c r="E18" s="4"/>
      <c r="F18" s="4"/>
      <c r="G18" s="4"/>
      <c r="H18" s="4"/>
      <c r="I18" s="4"/>
    </row>
    <row r="19" spans="1:9" x14ac:dyDescent="0.35">
      <c r="A19" s="2" t="str">
        <f>IF(interventions!$A19&lt;&gt;"",interventions!$A19,"")</f>
        <v/>
      </c>
      <c r="B19" s="4"/>
      <c r="C19" s="4"/>
      <c r="D19" s="4"/>
      <c r="E19" s="4"/>
      <c r="F19" s="4"/>
      <c r="G19" s="4"/>
      <c r="H19" s="4"/>
      <c r="I19" s="4"/>
    </row>
    <row r="20" spans="1:9" x14ac:dyDescent="0.35">
      <c r="A20" s="2" t="str">
        <f>IF(interventions!$A20&lt;&gt;"",interventions!$A20,"")</f>
        <v/>
      </c>
      <c r="B20" s="4"/>
      <c r="C20" s="4"/>
      <c r="D20" s="4"/>
      <c r="E20" s="4"/>
      <c r="F20" s="4"/>
      <c r="G20" s="4"/>
      <c r="H20" s="4"/>
      <c r="I20" s="4"/>
    </row>
    <row r="21" spans="1:9" x14ac:dyDescent="0.35">
      <c r="A21" s="2" t="str">
        <f>IF(interventions!$A21&lt;&gt;"",interventions!$A21,"")</f>
        <v/>
      </c>
      <c r="B21" s="4"/>
      <c r="C21" s="4"/>
      <c r="D21" s="4"/>
      <c r="E21" s="4"/>
      <c r="F21" s="4"/>
      <c r="G21" s="4"/>
      <c r="H21" s="4"/>
      <c r="I21" s="4"/>
    </row>
    <row r="22" spans="1:9" x14ac:dyDescent="0.35">
      <c r="A22" s="2" t="str">
        <f>IF(interventions!$A22&lt;&gt;"",interventions!$A22,"")</f>
        <v/>
      </c>
      <c r="B22" s="4"/>
      <c r="C22" s="4"/>
      <c r="D22" s="4"/>
      <c r="E22" s="4"/>
      <c r="F22" s="4"/>
      <c r="G22" s="4"/>
      <c r="H22" s="4"/>
      <c r="I22" s="4"/>
    </row>
    <row r="23" spans="1:9" x14ac:dyDescent="0.35">
      <c r="A23" s="2" t="str">
        <f>IF(interventions!$A23&lt;&gt;"",interventions!$A23,"")</f>
        <v/>
      </c>
      <c r="B23" s="4"/>
      <c r="C23" s="4"/>
      <c r="D23" s="4"/>
      <c r="E23" s="4"/>
      <c r="F23" s="4"/>
      <c r="G23" s="4"/>
      <c r="H23" s="4"/>
      <c r="I23" s="4"/>
    </row>
    <row r="24" spans="1:9" x14ac:dyDescent="0.35">
      <c r="A24" s="2" t="str">
        <f>IF(interventions!$A24&lt;&gt;"",interventions!$A24,"")</f>
        <v/>
      </c>
      <c r="B24" s="4"/>
      <c r="C24" s="4"/>
      <c r="D24" s="4"/>
      <c r="E24" s="4"/>
      <c r="F24" s="4"/>
      <c r="G24" s="4"/>
      <c r="H24" s="4"/>
      <c r="I24" s="4"/>
    </row>
    <row r="25" spans="1:9" x14ac:dyDescent="0.35">
      <c r="A25" s="2" t="str">
        <f>IF(interventions!$A25&lt;&gt;"",interventions!$A25,"")</f>
        <v/>
      </c>
      <c r="B25" s="4"/>
      <c r="C25" s="4"/>
      <c r="D25" s="4"/>
      <c r="E25" s="4"/>
      <c r="F25" s="4"/>
      <c r="G25" s="4"/>
      <c r="H25" s="4"/>
      <c r="I25" s="4"/>
    </row>
    <row r="26" spans="1:9" x14ac:dyDescent="0.35">
      <c r="A26" s="2" t="str">
        <f>IF(interventions!$A26&lt;&gt;"",interventions!$A26,"")</f>
        <v/>
      </c>
      <c r="B26" s="4"/>
      <c r="C26" s="4"/>
      <c r="D26" s="4"/>
      <c r="E26" s="4"/>
      <c r="F26" s="4"/>
      <c r="G26" s="4"/>
      <c r="H26" s="4"/>
      <c r="I26" s="4"/>
    </row>
    <row r="27" spans="1:9" x14ac:dyDescent="0.35">
      <c r="A27" s="2" t="str">
        <f>IF(interventions!$A27&lt;&gt;"",interventions!$A27,"")</f>
        <v/>
      </c>
      <c r="B27" s="4"/>
      <c r="C27" s="4"/>
      <c r="D27" s="4"/>
      <c r="E27" s="4"/>
      <c r="F27" s="4"/>
      <c r="G27" s="4"/>
      <c r="H27" s="4"/>
      <c r="I27" s="4"/>
    </row>
    <row r="28" spans="1:9" x14ac:dyDescent="0.35">
      <c r="A28" s="2" t="str">
        <f>IF(interventions!$A28&lt;&gt;"",interventions!$A28,"")</f>
        <v/>
      </c>
      <c r="B28" s="4"/>
      <c r="C28" s="4"/>
      <c r="D28" s="4"/>
      <c r="E28" s="4"/>
      <c r="F28" s="4"/>
      <c r="G28" s="4"/>
      <c r="H28" s="4"/>
      <c r="I28" s="4"/>
    </row>
    <row r="29" spans="1:9" x14ac:dyDescent="0.35">
      <c r="A29" s="2" t="str">
        <f>IF(interventions!$A29&lt;&gt;"",interventions!$A29,"")</f>
        <v/>
      </c>
    </row>
    <row r="30" spans="1:9" x14ac:dyDescent="0.35">
      <c r="A30" s="2" t="str">
        <f>IF(interventions!$A30&lt;&gt;"",interventions!$A30,"")</f>
        <v/>
      </c>
    </row>
    <row r="31" spans="1:9" x14ac:dyDescent="0.35">
      <c r="A31" s="2" t="str">
        <f>IF(interventions!$A31&lt;&gt;"",interventions!$A31,"")</f>
        <v/>
      </c>
    </row>
    <row r="32" spans="1:9" x14ac:dyDescent="0.35">
      <c r="A32" s="2" t="str">
        <f>IF(interventions!$A32&lt;&gt;"",interventions!$A32,"")</f>
        <v/>
      </c>
    </row>
    <row r="33" spans="1:1" x14ac:dyDescent="0.35">
      <c r="A33" s="2" t="str">
        <f>IF(interventions!$A33&lt;&gt;"",interventions!$A33,"")</f>
        <v/>
      </c>
    </row>
    <row r="34" spans="1:1" x14ac:dyDescent="0.35">
      <c r="A34" s="2" t="str">
        <f>IF(interventions!$A34&lt;&gt;"",interventions!$A34,"")</f>
        <v/>
      </c>
    </row>
    <row r="35" spans="1:1" x14ac:dyDescent="0.35">
      <c r="A35" s="2" t="str">
        <f>IF(interventions!$A35&lt;&gt;"",interventions!$A35,"")</f>
        <v/>
      </c>
    </row>
    <row r="36" spans="1:1" x14ac:dyDescent="0.35">
      <c r="A36" s="2" t="str">
        <f>IF(interventions!$A36&lt;&gt;"",interventions!$A36,"")</f>
        <v/>
      </c>
    </row>
    <row r="37" spans="1:1" x14ac:dyDescent="0.35">
      <c r="A37" s="2" t="str">
        <f>IF(interventions!$A37&lt;&gt;"",interventions!$A37,"")</f>
        <v/>
      </c>
    </row>
    <row r="38" spans="1:1" x14ac:dyDescent="0.35">
      <c r="A38" s="2" t="str">
        <f>IF(interventions!$A38&lt;&gt;"",interventions!$A38,"")</f>
        <v/>
      </c>
    </row>
    <row r="39" spans="1:1" x14ac:dyDescent="0.35">
      <c r="A39" s="2" t="str">
        <f>IF(interventions!$A39&lt;&gt;"",interventions!$A39,"")</f>
        <v/>
      </c>
    </row>
    <row r="40" spans="1:1" x14ac:dyDescent="0.35">
      <c r="A40" s="2" t="str">
        <f>IF(interventions!$A40&lt;&gt;"",interventions!$A40,"")</f>
        <v/>
      </c>
    </row>
    <row r="41" spans="1:1" x14ac:dyDescent="0.35">
      <c r="A41" s="2" t="str">
        <f>IF(interventions!$A41&lt;&gt;"",interventions!$A41,"")</f>
        <v/>
      </c>
    </row>
    <row r="42" spans="1:1" x14ac:dyDescent="0.35">
      <c r="A42" s="2" t="str">
        <f>IF(interventions!$A42&lt;&gt;"",interventions!$A42,"")</f>
        <v/>
      </c>
    </row>
    <row r="43" spans="1:1" x14ac:dyDescent="0.35">
      <c r="A43" s="2" t="str">
        <f>IF(interventions!$A43&lt;&gt;"",interventions!$A43,"")</f>
        <v/>
      </c>
    </row>
    <row r="44" spans="1:1" x14ac:dyDescent="0.35">
      <c r="A44" s="2" t="str">
        <f>IF(interventions!$A44&lt;&gt;"",interventions!$A44,"")</f>
        <v/>
      </c>
    </row>
    <row r="45" spans="1:1" x14ac:dyDescent="0.35">
      <c r="A45" s="2" t="str">
        <f>IF(interventions!$A45&lt;&gt;"",interventions!$A45,"")</f>
        <v/>
      </c>
    </row>
    <row r="46" spans="1:1" x14ac:dyDescent="0.35">
      <c r="A46" s="2" t="str">
        <f>IF(interventions!$A46&lt;&gt;"",interventions!$A46,"")</f>
        <v/>
      </c>
    </row>
    <row r="47" spans="1:1" x14ac:dyDescent="0.35">
      <c r="A47" s="2" t="str">
        <f>IF(interventions!$A47&lt;&gt;"",interventions!$A47,"")</f>
        <v/>
      </c>
    </row>
    <row r="48" spans="1:1" x14ac:dyDescent="0.35">
      <c r="A48" s="2" t="str">
        <f>IF(interventions!$A48&lt;&gt;"",interventions!$A48,"")</f>
        <v/>
      </c>
    </row>
    <row r="49" spans="1:1" x14ac:dyDescent="0.35">
      <c r="A49" s="2" t="str">
        <f>IF(interventions!$A49&lt;&gt;"",interventions!$A49,"")</f>
        <v/>
      </c>
    </row>
    <row r="50" spans="1:1" x14ac:dyDescent="0.35">
      <c r="A50" s="2" t="str">
        <f>IF(interventions!$A50&lt;&gt;"",interventions!$A50,"")</f>
        <v/>
      </c>
    </row>
    <row r="51" spans="1:1" x14ac:dyDescent="0.35">
      <c r="A51" s="2" t="str">
        <f>IF(interventions!$A51&lt;&gt;"",interventions!$A51,"")</f>
        <v/>
      </c>
    </row>
    <row r="52" spans="1:1" x14ac:dyDescent="0.35">
      <c r="A52" s="2" t="str">
        <f>IF(interventions!$A52&lt;&gt;"",interventions!$A52,"")</f>
        <v/>
      </c>
    </row>
    <row r="53" spans="1:1" x14ac:dyDescent="0.35">
      <c r="A53" s="2" t="str">
        <f>IF(interventions!$A53&lt;&gt;"",interventions!$A53,"")</f>
        <v/>
      </c>
    </row>
    <row r="54" spans="1:1" x14ac:dyDescent="0.35">
      <c r="A54" s="2" t="str">
        <f>IF(interventions!$A54&lt;&gt;"",interventions!$A54,"")</f>
        <v/>
      </c>
    </row>
    <row r="55" spans="1:1" x14ac:dyDescent="0.35">
      <c r="A55" s="2" t="str">
        <f>IF(interventions!$A55&lt;&gt;"",interventions!$A55,"")</f>
        <v/>
      </c>
    </row>
    <row r="56" spans="1:1" x14ac:dyDescent="0.35">
      <c r="A56" s="2" t="str">
        <f>IF(interventions!$A56&lt;&gt;"",interventions!$A56,"")</f>
        <v/>
      </c>
    </row>
    <row r="57" spans="1:1" x14ac:dyDescent="0.35">
      <c r="A57" s="2" t="str">
        <f>IF(interventions!$A57&lt;&gt;"",interventions!$A57,"")</f>
        <v/>
      </c>
    </row>
    <row r="58" spans="1:1" x14ac:dyDescent="0.35">
      <c r="A58" s="2" t="str">
        <f>IF(interventions!$A58&lt;&gt;"",interventions!$A58,"")</f>
        <v/>
      </c>
    </row>
    <row r="59" spans="1:1" x14ac:dyDescent="0.35">
      <c r="A59" s="2" t="str">
        <f>IF(interventions!$A59&lt;&gt;"",interventions!$A59,"")</f>
        <v/>
      </c>
    </row>
    <row r="60" spans="1:1" x14ac:dyDescent="0.35">
      <c r="A60" s="2" t="str">
        <f>IF(interventions!$A60&lt;&gt;"",interventions!$A60,"")</f>
        <v/>
      </c>
    </row>
    <row r="61" spans="1:1" x14ac:dyDescent="0.35">
      <c r="A61" s="2" t="str">
        <f>IF(interventions!$A61&lt;&gt;"",interventions!$A61,"")</f>
        <v/>
      </c>
    </row>
    <row r="62" spans="1:1" x14ac:dyDescent="0.35">
      <c r="A62" s="2" t="str">
        <f>IF(interventions!$A62&lt;&gt;"",interventions!$A62,"")</f>
        <v/>
      </c>
    </row>
    <row r="63" spans="1:1" x14ac:dyDescent="0.35">
      <c r="A63" s="2" t="str">
        <f>IF(interventions!$A63&lt;&gt;"",interventions!$A63,"")</f>
        <v/>
      </c>
    </row>
    <row r="64" spans="1:1" x14ac:dyDescent="0.35">
      <c r="A64" s="2" t="str">
        <f>IF(interventions!$A64&lt;&gt;"",interventions!$A64,"")</f>
        <v/>
      </c>
    </row>
    <row r="65" spans="1:1" x14ac:dyDescent="0.35">
      <c r="A65" s="2" t="str">
        <f>IF(interventions!$A65&lt;&gt;"",interventions!$A65,"")</f>
        <v/>
      </c>
    </row>
    <row r="66" spans="1:1" x14ac:dyDescent="0.35">
      <c r="A66" s="2" t="str">
        <f>IF(interventions!$A66&lt;&gt;"",interventions!$A66,"")</f>
        <v/>
      </c>
    </row>
    <row r="67" spans="1:1" x14ac:dyDescent="0.35">
      <c r="A67" s="2" t="str">
        <f>IF(interventions!$A67&lt;&gt;"",interventions!$A67,"")</f>
        <v/>
      </c>
    </row>
    <row r="68" spans="1:1" x14ac:dyDescent="0.35">
      <c r="A68" s="2" t="str">
        <f>IF(interventions!$A68&lt;&gt;"",interventions!$A68,"")</f>
        <v/>
      </c>
    </row>
    <row r="69" spans="1:1" x14ac:dyDescent="0.35">
      <c r="A69" s="2" t="str">
        <f>IF(interventions!$A69&lt;&gt;"",interventions!$A69,"")</f>
        <v/>
      </c>
    </row>
    <row r="70" spans="1:1" x14ac:dyDescent="0.35">
      <c r="A70" s="2" t="str">
        <f>IF(interventions!$A70&lt;&gt;"",interventions!$A70,"")</f>
        <v/>
      </c>
    </row>
    <row r="71" spans="1:1" x14ac:dyDescent="0.35">
      <c r="A71" s="2" t="str">
        <f>IF(interventions!$A71&lt;&gt;"",interventions!$A71,"")</f>
        <v/>
      </c>
    </row>
    <row r="72" spans="1:1" x14ac:dyDescent="0.35">
      <c r="A72" s="2" t="str">
        <f>IF(interventions!$A72&lt;&gt;"",interventions!$A72,"")</f>
        <v/>
      </c>
    </row>
    <row r="73" spans="1:1" x14ac:dyDescent="0.35">
      <c r="A73" s="2" t="str">
        <f>IF(interventions!$A73&lt;&gt;"",interventions!$A73,"")</f>
        <v/>
      </c>
    </row>
    <row r="74" spans="1:1" x14ac:dyDescent="0.35">
      <c r="A74" s="2" t="str">
        <f>IF(interventions!$A74&lt;&gt;"",interventions!$A74,"")</f>
        <v/>
      </c>
    </row>
    <row r="75" spans="1:1" x14ac:dyDescent="0.35">
      <c r="A75" s="2" t="str">
        <f>IF(interventions!$A75&lt;&gt;"",interventions!$A75,"")</f>
        <v/>
      </c>
    </row>
    <row r="76" spans="1:1" x14ac:dyDescent="0.35">
      <c r="A76" s="2" t="str">
        <f>IF(interventions!$A76&lt;&gt;"",interventions!$A76,"")</f>
        <v/>
      </c>
    </row>
    <row r="77" spans="1:1" x14ac:dyDescent="0.35">
      <c r="A77" s="2" t="str">
        <f>IF(interventions!$A77&lt;&gt;"",interventions!$A77,"")</f>
        <v/>
      </c>
    </row>
    <row r="78" spans="1:1" x14ac:dyDescent="0.35">
      <c r="A78" s="2" t="str">
        <f>IF(interventions!$A78&lt;&gt;"",interventions!$A78,"")</f>
        <v/>
      </c>
    </row>
    <row r="79" spans="1:1" x14ac:dyDescent="0.35">
      <c r="A79" s="2" t="str">
        <f>IF(interventions!$A79&lt;&gt;"",interventions!$A79,"")</f>
        <v/>
      </c>
    </row>
    <row r="80" spans="1:1" x14ac:dyDescent="0.35">
      <c r="A80" s="2" t="str">
        <f>IF(interventions!$A80&lt;&gt;"",interventions!$A80,"")</f>
        <v/>
      </c>
    </row>
    <row r="81" spans="1:1" x14ac:dyDescent="0.35">
      <c r="A81" s="2" t="str">
        <f>IF(interventions!$A81&lt;&gt;"",interventions!$A81,"")</f>
        <v/>
      </c>
    </row>
    <row r="82" spans="1:1" x14ac:dyDescent="0.35">
      <c r="A82" s="2" t="str">
        <f>IF(interventions!$A82&lt;&gt;"",interventions!$A82,"")</f>
        <v/>
      </c>
    </row>
    <row r="83" spans="1:1" x14ac:dyDescent="0.35">
      <c r="A83" s="2" t="str">
        <f>IF(interventions!$A83&lt;&gt;"",interventions!$A83,"")</f>
        <v/>
      </c>
    </row>
    <row r="84" spans="1:1" x14ac:dyDescent="0.35">
      <c r="A84" s="2" t="str">
        <f>IF(interventions!$A84&lt;&gt;"",interventions!$A84,"")</f>
        <v/>
      </c>
    </row>
    <row r="85" spans="1:1" x14ac:dyDescent="0.35">
      <c r="A85" s="2" t="str">
        <f>IF(interventions!$A85&lt;&gt;"",interventions!$A85,"")</f>
        <v/>
      </c>
    </row>
    <row r="86" spans="1:1" x14ac:dyDescent="0.35">
      <c r="A86" s="2" t="str">
        <f>IF(interventions!$A86&lt;&gt;"",interventions!$A86,"")</f>
        <v/>
      </c>
    </row>
    <row r="87" spans="1:1" x14ac:dyDescent="0.35">
      <c r="A87" s="2" t="str">
        <f>IF(interventions!$A87&lt;&gt;"",interventions!$A87,"")</f>
        <v/>
      </c>
    </row>
    <row r="88" spans="1:1" x14ac:dyDescent="0.35">
      <c r="A88" s="2" t="str">
        <f>IF(interventions!$A88&lt;&gt;"",interventions!$A88,"")</f>
        <v/>
      </c>
    </row>
    <row r="89" spans="1:1" x14ac:dyDescent="0.35">
      <c r="A89" s="2" t="str">
        <f>IF(interventions!$A89&lt;&gt;"",interventions!$A89,"")</f>
        <v/>
      </c>
    </row>
    <row r="90" spans="1:1" x14ac:dyDescent="0.35">
      <c r="A90" s="2" t="str">
        <f>IF(interventions!$A90&lt;&gt;"",interventions!$A90,"")</f>
        <v/>
      </c>
    </row>
    <row r="91" spans="1:1" x14ac:dyDescent="0.35">
      <c r="A91" s="2" t="str">
        <f>IF(interventions!$A91&lt;&gt;"",interventions!$A91,"")</f>
        <v/>
      </c>
    </row>
    <row r="92" spans="1:1" x14ac:dyDescent="0.35">
      <c r="A92" s="2" t="str">
        <f>IF(interventions!$A92&lt;&gt;"",interventions!$A92,"")</f>
        <v/>
      </c>
    </row>
    <row r="93" spans="1:1" x14ac:dyDescent="0.35">
      <c r="A93" s="2" t="str">
        <f>IF(interventions!$A93&lt;&gt;"",interventions!$A93,"")</f>
        <v/>
      </c>
    </row>
    <row r="94" spans="1:1" x14ac:dyDescent="0.35">
      <c r="A94" s="2" t="str">
        <f>IF(interventions!$A94&lt;&gt;"",interventions!$A94,"")</f>
        <v/>
      </c>
    </row>
    <row r="95" spans="1:1" x14ac:dyDescent="0.35">
      <c r="A95" s="2" t="str">
        <f>IF(interventions!$A95&lt;&gt;"",interventions!$A95,"")</f>
        <v/>
      </c>
    </row>
    <row r="96" spans="1:1" x14ac:dyDescent="0.35">
      <c r="A96" s="2" t="str">
        <f>IF(interventions!$A96&lt;&gt;"",interventions!$A96,"")</f>
        <v/>
      </c>
    </row>
    <row r="97" spans="1:1" x14ac:dyDescent="0.35">
      <c r="A97" s="2" t="str">
        <f>IF(interventions!$A97&lt;&gt;"",interventions!$A97,"")</f>
        <v/>
      </c>
    </row>
    <row r="98" spans="1:1" x14ac:dyDescent="0.35">
      <c r="A98" s="2" t="str">
        <f>IF(interventions!$A98&lt;&gt;"",interventions!$A98,"")</f>
        <v/>
      </c>
    </row>
    <row r="99" spans="1:1" x14ac:dyDescent="0.35">
      <c r="A99" s="2" t="str">
        <f>IF(interventions!$A99&lt;&gt;"",interventions!$A99,"")</f>
        <v/>
      </c>
    </row>
    <row r="100" spans="1:1" x14ac:dyDescent="0.35">
      <c r="A100" s="2" t="str">
        <f>IF(interventions!$A100&lt;&gt;"",interventions!$A100,"")</f>
        <v/>
      </c>
    </row>
    <row r="101" spans="1:1" x14ac:dyDescent="0.35">
      <c r="A101" s="2" t="str">
        <f>IF(interventions!$A101&lt;&gt;"",interventions!$A101,"")</f>
        <v/>
      </c>
    </row>
    <row r="102" spans="1:1" x14ac:dyDescent="0.35">
      <c r="A102" s="2" t="str">
        <f>IF(interventions!$A102&lt;&gt;"",interventions!$A102,"")</f>
        <v/>
      </c>
    </row>
    <row r="103" spans="1:1" x14ac:dyDescent="0.35">
      <c r="A103" s="2" t="str">
        <f>IF(interventions!$A103&lt;&gt;"",interventions!$A103,"")</f>
        <v/>
      </c>
    </row>
    <row r="104" spans="1:1" x14ac:dyDescent="0.35">
      <c r="A104" s="2" t="str">
        <f>IF(interventions!$A104&lt;&gt;"",interventions!$A104,"")</f>
        <v/>
      </c>
    </row>
    <row r="105" spans="1:1" x14ac:dyDescent="0.35">
      <c r="A105" s="2" t="str">
        <f>IF(interventions!$A105&lt;&gt;"",interventions!$A105,"")</f>
        <v/>
      </c>
    </row>
    <row r="106" spans="1:1" x14ac:dyDescent="0.35">
      <c r="A106" s="2" t="str">
        <f>IF(interventions!$A106&lt;&gt;"",interventions!$A106,"")</f>
        <v/>
      </c>
    </row>
    <row r="107" spans="1:1" x14ac:dyDescent="0.35">
      <c r="A107" s="2" t="str">
        <f>IF(interventions!$A107&lt;&gt;"",interventions!$A107,"")</f>
        <v/>
      </c>
    </row>
    <row r="108" spans="1:1" x14ac:dyDescent="0.35">
      <c r="A108" s="2" t="str">
        <f>IF(interventions!$A108&lt;&gt;"",interventions!$A108,"")</f>
        <v/>
      </c>
    </row>
    <row r="109" spans="1:1" x14ac:dyDescent="0.35">
      <c r="A109" s="2" t="str">
        <f>IF(interventions!$A109&lt;&gt;"",interventions!$A109,"")</f>
        <v/>
      </c>
    </row>
    <row r="110" spans="1:1" x14ac:dyDescent="0.35">
      <c r="A110" s="2" t="str">
        <f>IF(interventions!$A110&lt;&gt;"",interventions!$A110,"")</f>
        <v/>
      </c>
    </row>
    <row r="111" spans="1:1" x14ac:dyDescent="0.35">
      <c r="A111" s="2" t="str">
        <f>IF(interventions!$A111&lt;&gt;"",interventions!$A111,"")</f>
        <v/>
      </c>
    </row>
    <row r="112" spans="1:1" x14ac:dyDescent="0.35">
      <c r="A112" s="2" t="str">
        <f>IF(interventions!$A112&lt;&gt;"",interventions!$A112,"")</f>
        <v/>
      </c>
    </row>
    <row r="113" spans="1:1" x14ac:dyDescent="0.35">
      <c r="A113" s="2" t="str">
        <f>IF(interventions!$A113&lt;&gt;"",interventions!$A113,"")</f>
        <v/>
      </c>
    </row>
    <row r="114" spans="1:1" x14ac:dyDescent="0.35">
      <c r="A114" s="2" t="str">
        <f>IF(interventions!$A114&lt;&gt;"",interventions!$A114,"")</f>
        <v/>
      </c>
    </row>
    <row r="115" spans="1:1" x14ac:dyDescent="0.35">
      <c r="A115" s="2" t="str">
        <f>IF(interventions!$A115&lt;&gt;"",interventions!$A115,"")</f>
        <v/>
      </c>
    </row>
    <row r="116" spans="1:1" x14ac:dyDescent="0.35">
      <c r="A116" s="2" t="str">
        <f>IF(interventions!$A116&lt;&gt;"",interventions!$A116,"")</f>
        <v/>
      </c>
    </row>
    <row r="117" spans="1:1" x14ac:dyDescent="0.35">
      <c r="A117" s="2" t="str">
        <f>IF(interventions!$A117&lt;&gt;"",interventions!$A117,"")</f>
        <v/>
      </c>
    </row>
    <row r="118" spans="1:1" x14ac:dyDescent="0.35">
      <c r="A118" s="2" t="str">
        <f>IF(interventions!$A118&lt;&gt;"",interventions!$A118,"")</f>
        <v/>
      </c>
    </row>
    <row r="119" spans="1:1" x14ac:dyDescent="0.35">
      <c r="A119" s="2" t="str">
        <f>IF(interventions!$A119&lt;&gt;"",interventions!$A119,"")</f>
        <v/>
      </c>
    </row>
    <row r="120" spans="1:1" x14ac:dyDescent="0.35">
      <c r="A120" s="2" t="str">
        <f>IF(interventions!$A120&lt;&gt;"",interventions!$A120,"")</f>
        <v/>
      </c>
    </row>
    <row r="121" spans="1:1" x14ac:dyDescent="0.35">
      <c r="A121" s="2" t="str">
        <f>IF(interventions!$A121&lt;&gt;"",interventions!$A121,"")</f>
        <v/>
      </c>
    </row>
    <row r="122" spans="1:1" x14ac:dyDescent="0.35">
      <c r="A122" s="2" t="str">
        <f>IF(interventions!$A122&lt;&gt;"",interventions!$A122,"")</f>
        <v/>
      </c>
    </row>
    <row r="123" spans="1:1" x14ac:dyDescent="0.35">
      <c r="A123" s="2" t="str">
        <f>IF(interventions!$A123&lt;&gt;"",interventions!$A123,"")</f>
        <v/>
      </c>
    </row>
    <row r="124" spans="1:1" x14ac:dyDescent="0.35">
      <c r="A124" s="2" t="str">
        <f>IF(interventions!$A124&lt;&gt;"",interventions!$A124,"")</f>
        <v/>
      </c>
    </row>
    <row r="125" spans="1:1" x14ac:dyDescent="0.35">
      <c r="A125" s="2" t="str">
        <f>IF(interventions!$A125&lt;&gt;"",interventions!$A125,"")</f>
        <v/>
      </c>
    </row>
    <row r="126" spans="1:1" x14ac:dyDescent="0.35">
      <c r="A126" s="2" t="str">
        <f>IF(interventions!$A126&lt;&gt;"",interventions!$A126,"")</f>
        <v/>
      </c>
    </row>
    <row r="127" spans="1:1" x14ac:dyDescent="0.35">
      <c r="A127" s="2" t="str">
        <f>IF(interventions!$A127&lt;&gt;"",interventions!$A127,"")</f>
        <v/>
      </c>
    </row>
    <row r="128" spans="1:1" x14ac:dyDescent="0.35">
      <c r="A128" s="2" t="str">
        <f>IF(interventions!$A128&lt;&gt;"",interventions!$A128,"")</f>
        <v/>
      </c>
    </row>
    <row r="129" spans="1:1" x14ac:dyDescent="0.35">
      <c r="A129" s="2" t="str">
        <f>IF(interventions!$A129&lt;&gt;"",interventions!$A129,"")</f>
        <v/>
      </c>
    </row>
    <row r="130" spans="1:1" x14ac:dyDescent="0.35">
      <c r="A130" s="2" t="str">
        <f>IF(interventions!$A130&lt;&gt;"",interventions!$A130,"")</f>
        <v/>
      </c>
    </row>
    <row r="131" spans="1:1" x14ac:dyDescent="0.35">
      <c r="A131" s="2" t="str">
        <f>IF(interventions!$A131&lt;&gt;"",interventions!$A131,"")</f>
        <v/>
      </c>
    </row>
    <row r="132" spans="1:1" x14ac:dyDescent="0.35">
      <c r="A132" s="2" t="str">
        <f>IF(interventions!$A132&lt;&gt;"",interventions!$A132,"")</f>
        <v/>
      </c>
    </row>
    <row r="133" spans="1:1" x14ac:dyDescent="0.35">
      <c r="A133" s="2" t="str">
        <f>IF(interventions!$A133&lt;&gt;"",interventions!$A133,"")</f>
        <v/>
      </c>
    </row>
    <row r="134" spans="1:1" x14ac:dyDescent="0.35">
      <c r="A134" s="2" t="str">
        <f>IF(interventions!$A134&lt;&gt;"",interventions!$A134,"")</f>
        <v/>
      </c>
    </row>
    <row r="135" spans="1:1" x14ac:dyDescent="0.35">
      <c r="A135" s="2" t="str">
        <f>IF(interventions!$A135&lt;&gt;"",interventions!$A135,"")</f>
        <v/>
      </c>
    </row>
    <row r="136" spans="1:1" x14ac:dyDescent="0.35">
      <c r="A136" s="2" t="str">
        <f>IF(interventions!$A136&lt;&gt;"",interventions!$A136,"")</f>
        <v/>
      </c>
    </row>
    <row r="137" spans="1:1" x14ac:dyDescent="0.35">
      <c r="A137" s="2" t="str">
        <f>IF(interventions!$A137&lt;&gt;"",interventions!$A137,"")</f>
        <v/>
      </c>
    </row>
    <row r="138" spans="1:1" x14ac:dyDescent="0.35">
      <c r="A138" s="2" t="str">
        <f>IF(interventions!$A138&lt;&gt;"",interventions!$A138,"")</f>
        <v/>
      </c>
    </row>
    <row r="139" spans="1:1" x14ac:dyDescent="0.35">
      <c r="A139" s="2" t="str">
        <f>IF(interventions!$A139&lt;&gt;"",interventions!$A139,"")</f>
        <v/>
      </c>
    </row>
    <row r="140" spans="1:1" x14ac:dyDescent="0.35">
      <c r="A140" s="2" t="str">
        <f>IF(interventions!$A140&lt;&gt;"",interventions!$A140,"")</f>
        <v/>
      </c>
    </row>
    <row r="141" spans="1:1" x14ac:dyDescent="0.35">
      <c r="A141" s="2" t="str">
        <f>IF(interventions!$A141&lt;&gt;"",interventions!$A141,"")</f>
        <v/>
      </c>
    </row>
    <row r="142" spans="1:1" x14ac:dyDescent="0.35">
      <c r="A142" s="2" t="str">
        <f>IF(interventions!$A142&lt;&gt;"",interventions!$A142,"")</f>
        <v/>
      </c>
    </row>
    <row r="143" spans="1:1" x14ac:dyDescent="0.35">
      <c r="A143" s="2" t="str">
        <f>IF(interventions!$A143&lt;&gt;"",interventions!$A143,"")</f>
        <v/>
      </c>
    </row>
    <row r="144" spans="1:1" x14ac:dyDescent="0.35">
      <c r="A144" s="2" t="str">
        <f>IF(interventions!$A144&lt;&gt;"",interventions!$A144,"")</f>
        <v/>
      </c>
    </row>
    <row r="145" spans="1:1" x14ac:dyDescent="0.35">
      <c r="A145" s="2" t="str">
        <f>IF(interventions!$A145&lt;&gt;"",interventions!$A145,"")</f>
        <v/>
      </c>
    </row>
    <row r="146" spans="1:1" x14ac:dyDescent="0.35">
      <c r="A146" s="2" t="str">
        <f>IF(interventions!$A146&lt;&gt;"",interventions!$A146,"")</f>
        <v/>
      </c>
    </row>
    <row r="147" spans="1:1" x14ac:dyDescent="0.35">
      <c r="A147" s="2" t="str">
        <f>IF(interventions!$A147&lt;&gt;"",interventions!$A147,"")</f>
        <v/>
      </c>
    </row>
    <row r="148" spans="1:1" x14ac:dyDescent="0.35">
      <c r="A148" s="2" t="str">
        <f>IF(interventions!$A148&lt;&gt;"",interventions!$A148,"")</f>
        <v/>
      </c>
    </row>
    <row r="149" spans="1:1" x14ac:dyDescent="0.35">
      <c r="A149" s="2" t="str">
        <f>IF(interventions!$A149&lt;&gt;"",interventions!$A149,"")</f>
        <v/>
      </c>
    </row>
    <row r="150" spans="1:1" x14ac:dyDescent="0.35">
      <c r="A150" s="2" t="str">
        <f>IF(interventions!$A150&lt;&gt;"",interventions!$A150,"")</f>
        <v/>
      </c>
    </row>
    <row r="151" spans="1:1" x14ac:dyDescent="0.35">
      <c r="A151" s="2" t="str">
        <f>IF(interventions!$A151&lt;&gt;"",interventions!$A151,"")</f>
        <v/>
      </c>
    </row>
    <row r="152" spans="1:1" x14ac:dyDescent="0.35">
      <c r="A152" s="2" t="str">
        <f>IF(interventions!$A152&lt;&gt;"",interventions!$A152,"")</f>
        <v/>
      </c>
    </row>
    <row r="153" spans="1:1" x14ac:dyDescent="0.35">
      <c r="A153" s="2" t="str">
        <f>IF(interventions!$A153&lt;&gt;"",interventions!$A153,"")</f>
        <v/>
      </c>
    </row>
    <row r="154" spans="1:1" x14ac:dyDescent="0.35">
      <c r="A154" s="2" t="str">
        <f>IF(interventions!$A154&lt;&gt;"",interventions!$A154,"")</f>
        <v/>
      </c>
    </row>
    <row r="155" spans="1:1" x14ac:dyDescent="0.35">
      <c r="A155" s="2" t="str">
        <f>IF(interventions!$A155&lt;&gt;"",interventions!$A155,"")</f>
        <v/>
      </c>
    </row>
    <row r="156" spans="1:1" x14ac:dyDescent="0.35">
      <c r="A156" s="2" t="str">
        <f>IF(interventions!$A156&lt;&gt;"",interventions!$A156,"")</f>
        <v/>
      </c>
    </row>
    <row r="157" spans="1:1" x14ac:dyDescent="0.35">
      <c r="A157" s="2" t="str">
        <f>IF(interventions!$A157&lt;&gt;"",interventions!$A157,"")</f>
        <v/>
      </c>
    </row>
    <row r="158" spans="1:1" x14ac:dyDescent="0.35">
      <c r="A158" s="2" t="str">
        <f>IF(interventions!$A158&lt;&gt;"",interventions!$A158,"")</f>
        <v/>
      </c>
    </row>
    <row r="159" spans="1:1" x14ac:dyDescent="0.35">
      <c r="A159" s="2" t="str">
        <f>IF(interventions!$A159&lt;&gt;"",interventions!$A159,"")</f>
        <v/>
      </c>
    </row>
    <row r="160" spans="1:1" x14ac:dyDescent="0.35">
      <c r="A160" s="2" t="str">
        <f>IF(interventions!$A160&lt;&gt;"",interventions!$A160,"")</f>
        <v/>
      </c>
    </row>
    <row r="161" spans="1:1" x14ac:dyDescent="0.35">
      <c r="A161" s="2" t="str">
        <f>IF(interventions!$A161&lt;&gt;"",interventions!$A161,"")</f>
        <v/>
      </c>
    </row>
    <row r="162" spans="1:1" x14ac:dyDescent="0.35">
      <c r="A162" s="2" t="str">
        <f>IF(interventions!$A162&lt;&gt;"",interventions!$A162,"")</f>
        <v/>
      </c>
    </row>
    <row r="163" spans="1:1" x14ac:dyDescent="0.35">
      <c r="A163" s="2" t="str">
        <f>IF(interventions!$A163&lt;&gt;"",interventions!$A163,"")</f>
        <v/>
      </c>
    </row>
    <row r="164" spans="1:1" x14ac:dyDescent="0.35">
      <c r="A164" s="2" t="str">
        <f>IF(interventions!$A164&lt;&gt;"",interventions!$A164,"")</f>
        <v/>
      </c>
    </row>
    <row r="165" spans="1:1" x14ac:dyDescent="0.35">
      <c r="A165" s="2" t="str">
        <f>IF(interventions!$A165&lt;&gt;"",interventions!$A165,"")</f>
        <v/>
      </c>
    </row>
    <row r="166" spans="1:1" x14ac:dyDescent="0.35">
      <c r="A166" s="2" t="str">
        <f>IF(interventions!$A166&lt;&gt;"",interventions!$A166,"")</f>
        <v/>
      </c>
    </row>
    <row r="167" spans="1:1" x14ac:dyDescent="0.35">
      <c r="A167" s="2" t="str">
        <f>IF(interventions!$A167&lt;&gt;"",interventions!$A167,"")</f>
        <v/>
      </c>
    </row>
    <row r="168" spans="1:1" x14ac:dyDescent="0.35">
      <c r="A168" s="2" t="str">
        <f>IF(interventions!$A168&lt;&gt;"",interventions!$A168,"")</f>
        <v/>
      </c>
    </row>
    <row r="169" spans="1:1" x14ac:dyDescent="0.35">
      <c r="A169" s="2" t="str">
        <f>IF(interventions!$A169&lt;&gt;"",interventions!$A169,"")</f>
        <v/>
      </c>
    </row>
    <row r="170" spans="1:1" x14ac:dyDescent="0.35">
      <c r="A170" s="2" t="str">
        <f>IF(interventions!$A170&lt;&gt;"",interventions!$A170,"")</f>
        <v/>
      </c>
    </row>
    <row r="171" spans="1:1" x14ac:dyDescent="0.35">
      <c r="A171" s="2" t="str">
        <f>IF(interventions!$A171&lt;&gt;"",interventions!$A171,"")</f>
        <v/>
      </c>
    </row>
    <row r="172" spans="1:1" x14ac:dyDescent="0.35">
      <c r="A172" s="2" t="str">
        <f>IF(interventions!$A172&lt;&gt;"",interventions!$A172,"")</f>
        <v/>
      </c>
    </row>
    <row r="173" spans="1:1" x14ac:dyDescent="0.35">
      <c r="A173" s="2" t="str">
        <f>IF(interventions!$A173&lt;&gt;"",interventions!$A173,"")</f>
        <v/>
      </c>
    </row>
    <row r="174" spans="1:1" x14ac:dyDescent="0.35">
      <c r="A174" s="2" t="str">
        <f>IF(interventions!$A174&lt;&gt;"",interventions!$A174,"")</f>
        <v/>
      </c>
    </row>
    <row r="175" spans="1:1" x14ac:dyDescent="0.35">
      <c r="A175" s="2" t="str">
        <f>IF(interventions!$A175&lt;&gt;"",interventions!$A175,"")</f>
        <v/>
      </c>
    </row>
    <row r="176" spans="1:1" x14ac:dyDescent="0.35">
      <c r="A176" s="2" t="str">
        <f>IF(interventions!$A176&lt;&gt;"",interventions!$A176,"")</f>
        <v/>
      </c>
    </row>
    <row r="177" spans="1:1" x14ac:dyDescent="0.35">
      <c r="A177" s="2" t="str">
        <f>IF(interventions!$A177&lt;&gt;"",interventions!$A177,"")</f>
        <v/>
      </c>
    </row>
    <row r="178" spans="1:1" x14ac:dyDescent="0.35">
      <c r="A178" s="2" t="str">
        <f>IF(interventions!$A178&lt;&gt;"",interventions!$A178,"")</f>
        <v/>
      </c>
    </row>
    <row r="179" spans="1:1" x14ac:dyDescent="0.35">
      <c r="A179" s="2" t="str">
        <f>IF(interventions!$A179&lt;&gt;"",interventions!$A179,"")</f>
        <v/>
      </c>
    </row>
    <row r="180" spans="1:1" x14ac:dyDescent="0.35">
      <c r="A180" s="2" t="str">
        <f>IF(interventions!$A180&lt;&gt;"",interventions!$A180,"")</f>
        <v/>
      </c>
    </row>
    <row r="181" spans="1:1" x14ac:dyDescent="0.35">
      <c r="A181" s="2" t="str">
        <f>IF(interventions!$A181&lt;&gt;"",interventions!$A181,"")</f>
        <v/>
      </c>
    </row>
    <row r="182" spans="1:1" x14ac:dyDescent="0.35">
      <c r="A182" s="2" t="str">
        <f>IF(interventions!$A182&lt;&gt;"",interventions!$A182,"")</f>
        <v/>
      </c>
    </row>
    <row r="183" spans="1:1" x14ac:dyDescent="0.35">
      <c r="A183" s="2" t="str">
        <f>IF(interventions!$A183&lt;&gt;"",interventions!$A183,"")</f>
        <v/>
      </c>
    </row>
    <row r="184" spans="1:1" x14ac:dyDescent="0.35">
      <c r="A184" s="2" t="str">
        <f>IF(interventions!$A184&lt;&gt;"",interventions!$A184,"")</f>
        <v/>
      </c>
    </row>
    <row r="185" spans="1:1" x14ac:dyDescent="0.35">
      <c r="A185" s="2" t="str">
        <f>IF(interventions!$A185&lt;&gt;"",interventions!$A185,"")</f>
        <v/>
      </c>
    </row>
    <row r="186" spans="1:1" x14ac:dyDescent="0.35">
      <c r="A186" s="2" t="str">
        <f>IF(interventions!$A186&lt;&gt;"",interventions!$A186,"")</f>
        <v/>
      </c>
    </row>
    <row r="187" spans="1:1" x14ac:dyDescent="0.35">
      <c r="A187" s="2" t="str">
        <f>IF(interventions!$A187&lt;&gt;"",interventions!$A187,"")</f>
        <v/>
      </c>
    </row>
    <row r="188" spans="1:1" x14ac:dyDescent="0.35">
      <c r="A188" s="2" t="str">
        <f>IF(interventions!$A188&lt;&gt;"",interventions!$A188,"")</f>
        <v/>
      </c>
    </row>
    <row r="189" spans="1:1" x14ac:dyDescent="0.35">
      <c r="A189" s="2" t="str">
        <f>IF(interventions!$A189&lt;&gt;"",interventions!$A189,"")</f>
        <v/>
      </c>
    </row>
    <row r="190" spans="1:1" x14ac:dyDescent="0.35">
      <c r="A190" s="2" t="str">
        <f>IF(interventions!$A190&lt;&gt;"",interventions!$A190,"")</f>
        <v/>
      </c>
    </row>
    <row r="191" spans="1:1" x14ac:dyDescent="0.35">
      <c r="A191" s="2" t="str">
        <f>IF(interventions!$A191&lt;&gt;"",interventions!$A191,"")</f>
        <v/>
      </c>
    </row>
    <row r="192" spans="1:1" x14ac:dyDescent="0.35">
      <c r="A192" s="2" t="str">
        <f>IF(interventions!$A192&lt;&gt;"",interventions!$A192,"")</f>
        <v/>
      </c>
    </row>
    <row r="193" spans="1:1" x14ac:dyDescent="0.35">
      <c r="A193" s="2" t="str">
        <f>IF(interventions!$A193&lt;&gt;"",interventions!$A193,"")</f>
        <v/>
      </c>
    </row>
    <row r="194" spans="1:1" x14ac:dyDescent="0.35">
      <c r="A194" s="2" t="str">
        <f>IF(interventions!$A194&lt;&gt;"",interventions!$A194,"")</f>
        <v/>
      </c>
    </row>
    <row r="195" spans="1:1" x14ac:dyDescent="0.35">
      <c r="A195" s="2" t="str">
        <f>IF(interventions!$A195&lt;&gt;"",interventions!$A195,"")</f>
        <v/>
      </c>
    </row>
    <row r="196" spans="1:1" x14ac:dyDescent="0.35">
      <c r="A196" s="2" t="str">
        <f>IF(interventions!$A196&lt;&gt;"",interventions!$A196,"")</f>
        <v/>
      </c>
    </row>
    <row r="197" spans="1:1" x14ac:dyDescent="0.35">
      <c r="A197" s="2" t="str">
        <f>IF(interventions!$A197&lt;&gt;"",interventions!$A197,"")</f>
        <v/>
      </c>
    </row>
    <row r="198" spans="1:1" x14ac:dyDescent="0.35">
      <c r="A198" s="2" t="str">
        <f>IF(interventions!$A198&lt;&gt;"",interventions!$A198,"")</f>
        <v/>
      </c>
    </row>
    <row r="199" spans="1:1" x14ac:dyDescent="0.35">
      <c r="A199" s="2" t="str">
        <f>IF(interventions!$A199&lt;&gt;"",interventions!$A199,"")</f>
        <v/>
      </c>
    </row>
    <row r="200" spans="1:1" x14ac:dyDescent="0.35">
      <c r="A200" s="2" t="str">
        <f>IF(interventions!$A200&lt;&gt;"",interventions!$A200,"")</f>
        <v/>
      </c>
    </row>
    <row r="201" spans="1:1" x14ac:dyDescent="0.35">
      <c r="A201" s="2" t="str">
        <f>IF(interventions!$A201&lt;&gt;"",interventions!$A201,"")</f>
        <v/>
      </c>
    </row>
    <row r="202" spans="1:1" x14ac:dyDescent="0.35">
      <c r="A202" s="2" t="str">
        <f>IF(interventions!$A202&lt;&gt;"",interventions!$A202,"")</f>
        <v/>
      </c>
    </row>
    <row r="203" spans="1:1" x14ac:dyDescent="0.35">
      <c r="A203" s="2" t="str">
        <f>IF(interventions!$A203&lt;&gt;"",interventions!$A203,"")</f>
        <v/>
      </c>
    </row>
    <row r="204" spans="1:1" x14ac:dyDescent="0.35">
      <c r="A204" s="2" t="str">
        <f>IF(interventions!$A204&lt;&gt;"",interventions!$A204,"")</f>
        <v/>
      </c>
    </row>
    <row r="205" spans="1:1" x14ac:dyDescent="0.35">
      <c r="A205" s="2" t="str">
        <f>IF(interventions!$A205&lt;&gt;"",interventions!$A205,"")</f>
        <v/>
      </c>
    </row>
    <row r="206" spans="1:1" x14ac:dyDescent="0.35">
      <c r="A206" s="2" t="str">
        <f>IF(interventions!$A206&lt;&gt;"",interventions!$A206,"")</f>
        <v/>
      </c>
    </row>
    <row r="207" spans="1:1" x14ac:dyDescent="0.35">
      <c r="A207" s="2" t="str">
        <f>IF(interventions!$A207&lt;&gt;"",interventions!$A207,"")</f>
        <v/>
      </c>
    </row>
    <row r="208" spans="1:1" x14ac:dyDescent="0.35">
      <c r="A208" s="2" t="str">
        <f>IF(interventions!$A208&lt;&gt;"",interventions!$A208,"")</f>
        <v/>
      </c>
    </row>
    <row r="209" spans="1:1" x14ac:dyDescent="0.35">
      <c r="A209" s="2" t="str">
        <f>IF(interventions!$A209&lt;&gt;"",interventions!$A209,"")</f>
        <v/>
      </c>
    </row>
    <row r="210" spans="1:1" x14ac:dyDescent="0.35">
      <c r="A210" s="2" t="str">
        <f>IF(interventions!$A210&lt;&gt;"",interventions!$A210,"")</f>
        <v/>
      </c>
    </row>
    <row r="211" spans="1:1" x14ac:dyDescent="0.35">
      <c r="A211" s="2" t="str">
        <f>IF(interventions!$A211&lt;&gt;"",interventions!$A211,"")</f>
        <v/>
      </c>
    </row>
    <row r="212" spans="1:1" x14ac:dyDescent="0.35">
      <c r="A212" s="2" t="str">
        <f>IF(interventions!$A212&lt;&gt;"",interventions!$A212,"")</f>
        <v/>
      </c>
    </row>
    <row r="213" spans="1:1" x14ac:dyDescent="0.35">
      <c r="A213" s="2" t="str">
        <f>IF(interventions!$A213&lt;&gt;"",interventions!$A213,"")</f>
        <v/>
      </c>
    </row>
    <row r="214" spans="1:1" x14ac:dyDescent="0.35">
      <c r="A214" s="2" t="str">
        <f>IF(interventions!$A214&lt;&gt;"",interventions!$A214,"")</f>
        <v/>
      </c>
    </row>
    <row r="215" spans="1:1" x14ac:dyDescent="0.35">
      <c r="A215" s="2" t="str">
        <f>IF(interventions!$A215&lt;&gt;"",interventions!$A215,"")</f>
        <v/>
      </c>
    </row>
    <row r="216" spans="1:1" x14ac:dyDescent="0.35">
      <c r="A216" s="2" t="str">
        <f>IF(interventions!$A216&lt;&gt;"",interventions!$A216,"")</f>
        <v/>
      </c>
    </row>
    <row r="217" spans="1:1" x14ac:dyDescent="0.35">
      <c r="A217" s="2" t="str">
        <f>IF(interventions!$A217&lt;&gt;"",interventions!$A217,"")</f>
        <v/>
      </c>
    </row>
    <row r="218" spans="1:1" x14ac:dyDescent="0.35">
      <c r="A218" s="2" t="str">
        <f>IF(interventions!$A218&lt;&gt;"",interventions!$A218,"")</f>
        <v/>
      </c>
    </row>
    <row r="219" spans="1:1" x14ac:dyDescent="0.35">
      <c r="A219" s="2" t="str">
        <f>IF(interventions!$A219&lt;&gt;"",interventions!$A219,"")</f>
        <v/>
      </c>
    </row>
    <row r="220" spans="1:1" x14ac:dyDescent="0.35">
      <c r="A220" s="2" t="str">
        <f>IF(interventions!$A220&lt;&gt;"",interventions!$A220,"")</f>
        <v/>
      </c>
    </row>
    <row r="221" spans="1:1" x14ac:dyDescent="0.35">
      <c r="A221" s="2" t="str">
        <f>IF(interventions!$A221&lt;&gt;"",interventions!$A221,"")</f>
        <v/>
      </c>
    </row>
    <row r="222" spans="1:1" x14ac:dyDescent="0.35">
      <c r="A222" s="2" t="str">
        <f>IF(interventions!$A222&lt;&gt;"",interventions!$A222,"")</f>
        <v/>
      </c>
    </row>
    <row r="223" spans="1:1" x14ac:dyDescent="0.35">
      <c r="A223" s="2" t="str">
        <f>IF(interventions!$A223&lt;&gt;"",interventions!$A223,"")</f>
        <v/>
      </c>
    </row>
    <row r="224" spans="1:1" x14ac:dyDescent="0.35">
      <c r="A224" s="2" t="str">
        <f>IF(interventions!$A224&lt;&gt;"",interventions!$A224,"")</f>
        <v/>
      </c>
    </row>
    <row r="225" spans="1:1" x14ac:dyDescent="0.35">
      <c r="A225" s="2" t="str">
        <f>IF(interventions!$A225&lt;&gt;"",interventions!$A225,"")</f>
        <v/>
      </c>
    </row>
    <row r="226" spans="1:1" x14ac:dyDescent="0.35">
      <c r="A226" s="2" t="str">
        <f>IF(interventions!$A226&lt;&gt;"",interventions!$A226,"")</f>
        <v/>
      </c>
    </row>
    <row r="227" spans="1:1" x14ac:dyDescent="0.35">
      <c r="A227" s="2" t="str">
        <f>IF(interventions!$A227&lt;&gt;"",interventions!$A227,"")</f>
        <v/>
      </c>
    </row>
    <row r="228" spans="1:1" x14ac:dyDescent="0.35">
      <c r="A228" s="2" t="str">
        <f>IF(interventions!$A228&lt;&gt;"",interventions!$A228,"")</f>
        <v/>
      </c>
    </row>
    <row r="229" spans="1:1" x14ac:dyDescent="0.35">
      <c r="A229" s="2" t="str">
        <f>IF(interventions!$A229&lt;&gt;"",interventions!$A229,"")</f>
        <v/>
      </c>
    </row>
    <row r="230" spans="1:1" x14ac:dyDescent="0.35">
      <c r="A230" s="2" t="str">
        <f>IF(interventions!$A230&lt;&gt;"",interventions!$A230,"")</f>
        <v/>
      </c>
    </row>
    <row r="231" spans="1:1" x14ac:dyDescent="0.35">
      <c r="A231" s="2" t="str">
        <f>IF(interventions!$A231&lt;&gt;"",interventions!$A231,"")</f>
        <v/>
      </c>
    </row>
    <row r="232" spans="1:1" x14ac:dyDescent="0.35">
      <c r="A232" s="2" t="str">
        <f>IF(interventions!$A232&lt;&gt;"",interventions!$A232,"")</f>
        <v/>
      </c>
    </row>
    <row r="233" spans="1:1" x14ac:dyDescent="0.35">
      <c r="A233" s="2" t="str">
        <f>IF(interventions!$A233&lt;&gt;"",interventions!$A233,"")</f>
        <v/>
      </c>
    </row>
    <row r="234" spans="1:1" x14ac:dyDescent="0.35">
      <c r="A234" s="2" t="str">
        <f>IF(interventions!$A234&lt;&gt;"",interventions!$A234,"")</f>
        <v/>
      </c>
    </row>
    <row r="235" spans="1:1" x14ac:dyDescent="0.35">
      <c r="A235" s="2" t="str">
        <f>IF(interventions!$A235&lt;&gt;"",interventions!$A235,"")</f>
        <v/>
      </c>
    </row>
    <row r="236" spans="1:1" x14ac:dyDescent="0.35">
      <c r="A236" s="2" t="str">
        <f>IF(interventions!$A236&lt;&gt;"",interventions!$A236,"")</f>
        <v/>
      </c>
    </row>
    <row r="237" spans="1:1" x14ac:dyDescent="0.35">
      <c r="A237" s="2" t="str">
        <f>IF(interventions!$A237&lt;&gt;"",interventions!$A237,"")</f>
        <v/>
      </c>
    </row>
    <row r="238" spans="1:1" x14ac:dyDescent="0.35">
      <c r="A238" s="2" t="str">
        <f>IF(interventions!$A238&lt;&gt;"",interventions!$A238,"")</f>
        <v/>
      </c>
    </row>
    <row r="239" spans="1:1" x14ac:dyDescent="0.35">
      <c r="A239" s="2" t="str">
        <f>IF(interventions!$A239&lt;&gt;"",interventions!$A239,"")</f>
        <v/>
      </c>
    </row>
    <row r="240" spans="1:1" x14ac:dyDescent="0.35">
      <c r="A240" s="2" t="str">
        <f>IF(interventions!$A240&lt;&gt;"",interventions!$A240,"")</f>
        <v/>
      </c>
    </row>
    <row r="241" spans="1:1" x14ac:dyDescent="0.35">
      <c r="A241" s="2" t="str">
        <f>IF(interventions!$A241&lt;&gt;"",interventions!$A241,"")</f>
        <v/>
      </c>
    </row>
    <row r="242" spans="1:1" x14ac:dyDescent="0.35">
      <c r="A242" s="2" t="str">
        <f>IF(interventions!$A242&lt;&gt;"",interventions!$A242,"")</f>
        <v/>
      </c>
    </row>
    <row r="243" spans="1:1" x14ac:dyDescent="0.35">
      <c r="A243" s="2" t="str">
        <f>IF(interventions!$A243&lt;&gt;"",interventions!$A243,"")</f>
        <v/>
      </c>
    </row>
    <row r="244" spans="1:1" x14ac:dyDescent="0.35">
      <c r="A244" s="2" t="str">
        <f>IF(interventions!$A244&lt;&gt;"",interventions!$A244,"")</f>
        <v/>
      </c>
    </row>
    <row r="245" spans="1:1" x14ac:dyDescent="0.35">
      <c r="A245" s="2" t="str">
        <f>IF(interventions!$A245&lt;&gt;"",interventions!$A245,"")</f>
        <v/>
      </c>
    </row>
    <row r="246" spans="1:1" x14ac:dyDescent="0.35">
      <c r="A246" s="2" t="str">
        <f>IF(interventions!$A246&lt;&gt;"",interventions!$A246,"")</f>
        <v/>
      </c>
    </row>
    <row r="247" spans="1:1" x14ac:dyDescent="0.35">
      <c r="A247" s="2" t="str">
        <f>IF(interventions!$A247&lt;&gt;"",interventions!$A247,"")</f>
        <v/>
      </c>
    </row>
    <row r="248" spans="1:1" x14ac:dyDescent="0.35">
      <c r="A248" s="2" t="str">
        <f>IF(interventions!$A248&lt;&gt;"",interventions!$A248,"")</f>
        <v/>
      </c>
    </row>
    <row r="249" spans="1:1" x14ac:dyDescent="0.35">
      <c r="A249" s="2" t="str">
        <f>IF(interventions!$A249&lt;&gt;"",interventions!$A249,"")</f>
        <v/>
      </c>
    </row>
    <row r="250" spans="1:1" x14ac:dyDescent="0.35">
      <c r="A250" s="2" t="str">
        <f>IF(interventions!$A250&lt;&gt;"",interventions!$A250,"")</f>
        <v/>
      </c>
    </row>
    <row r="251" spans="1:1" x14ac:dyDescent="0.35">
      <c r="A251" s="2" t="str">
        <f>IF(interventions!$A251&lt;&gt;"",interventions!$A251,"")</f>
        <v/>
      </c>
    </row>
    <row r="252" spans="1:1" x14ac:dyDescent="0.35">
      <c r="A252" s="2" t="str">
        <f>IF(interventions!$A252&lt;&gt;"",interventions!$A252,"")</f>
        <v/>
      </c>
    </row>
    <row r="253" spans="1:1" x14ac:dyDescent="0.35">
      <c r="A253" s="2" t="str">
        <f>IF(interventions!$A253&lt;&gt;"",interventions!$A253,"")</f>
        <v/>
      </c>
    </row>
    <row r="254" spans="1:1" x14ac:dyDescent="0.35">
      <c r="A254" s="2" t="str">
        <f>IF(interventions!$A254&lt;&gt;"",interventions!$A254,"")</f>
        <v/>
      </c>
    </row>
    <row r="255" spans="1:1" x14ac:dyDescent="0.35">
      <c r="A255" s="2" t="str">
        <f>IF(interventions!$A255&lt;&gt;"",interventions!$A255,"")</f>
        <v/>
      </c>
    </row>
    <row r="256" spans="1:1" x14ac:dyDescent="0.35">
      <c r="A256" s="2" t="str">
        <f>IF(interventions!$A256&lt;&gt;"",interventions!$A256,"")</f>
        <v/>
      </c>
    </row>
    <row r="257" spans="1:1" x14ac:dyDescent="0.35">
      <c r="A257" s="2" t="str">
        <f>IF(interventions!$A257&lt;&gt;"",interventions!$A257,"")</f>
        <v/>
      </c>
    </row>
    <row r="258" spans="1:1" x14ac:dyDescent="0.35">
      <c r="A258" s="2" t="str">
        <f>IF(interventions!$A258&lt;&gt;"",interventions!$A258,"")</f>
        <v/>
      </c>
    </row>
    <row r="259" spans="1:1" x14ac:dyDescent="0.35">
      <c r="A259" s="2" t="str">
        <f>IF(interventions!$A259&lt;&gt;"",interventions!$A259,"")</f>
        <v/>
      </c>
    </row>
    <row r="260" spans="1:1" x14ac:dyDescent="0.35">
      <c r="A260" s="2" t="str">
        <f>IF(interventions!$A260&lt;&gt;"",interventions!$A260,"")</f>
        <v/>
      </c>
    </row>
    <row r="261" spans="1:1" x14ac:dyDescent="0.35">
      <c r="A261" s="2" t="str">
        <f>IF(interventions!$A261&lt;&gt;"",interventions!$A261,"")</f>
        <v/>
      </c>
    </row>
    <row r="262" spans="1:1" x14ac:dyDescent="0.35">
      <c r="A262" s="2" t="str">
        <f>IF(interventions!$A262&lt;&gt;"",interventions!$A262,"")</f>
        <v/>
      </c>
    </row>
    <row r="263" spans="1:1" x14ac:dyDescent="0.35">
      <c r="A263" s="2" t="str">
        <f>IF(interventions!$A263&lt;&gt;"",interventions!$A263,"")</f>
        <v/>
      </c>
    </row>
    <row r="264" spans="1:1" x14ac:dyDescent="0.35">
      <c r="A264" s="2" t="str">
        <f>IF(interventions!$A264&lt;&gt;"",interventions!$A264,"")</f>
        <v/>
      </c>
    </row>
    <row r="265" spans="1:1" x14ac:dyDescent="0.35">
      <c r="A265" s="2" t="str">
        <f>IF(interventions!$A265&lt;&gt;"",interventions!$A265,"")</f>
        <v/>
      </c>
    </row>
    <row r="266" spans="1:1" x14ac:dyDescent="0.35">
      <c r="A266" s="2" t="str">
        <f>IF(interventions!$A266&lt;&gt;"",interventions!$A266,"")</f>
        <v/>
      </c>
    </row>
    <row r="267" spans="1:1" x14ac:dyDescent="0.35">
      <c r="A267" s="2" t="str">
        <f>IF(interventions!$A267&lt;&gt;"",interventions!$A267,"")</f>
        <v/>
      </c>
    </row>
    <row r="268" spans="1:1" x14ac:dyDescent="0.35">
      <c r="A268" s="2" t="str">
        <f>IF(interventions!$A268&lt;&gt;"",interventions!$A268,"")</f>
        <v/>
      </c>
    </row>
    <row r="269" spans="1:1" x14ac:dyDescent="0.35">
      <c r="A269" s="2" t="str">
        <f>IF(interventions!$A269&lt;&gt;"",interventions!$A269,"")</f>
        <v/>
      </c>
    </row>
    <row r="270" spans="1:1" x14ac:dyDescent="0.35">
      <c r="A270" s="2" t="str">
        <f>IF(interventions!$A270&lt;&gt;"",interventions!$A270,"")</f>
        <v/>
      </c>
    </row>
    <row r="271" spans="1:1" x14ac:dyDescent="0.35">
      <c r="A271" s="2" t="str">
        <f>IF(interventions!$A271&lt;&gt;"",interventions!$A271,"")</f>
        <v/>
      </c>
    </row>
    <row r="272" spans="1:1" x14ac:dyDescent="0.35">
      <c r="A272" s="2" t="str">
        <f>IF(interventions!$A272&lt;&gt;"",interventions!$A272,"")</f>
        <v/>
      </c>
    </row>
    <row r="273" spans="1:1" x14ac:dyDescent="0.35">
      <c r="A273" s="2" t="str">
        <f>IF(interventions!$A273&lt;&gt;"",interventions!$A273,"")</f>
        <v/>
      </c>
    </row>
    <row r="274" spans="1:1" x14ac:dyDescent="0.35">
      <c r="A274" s="2" t="str">
        <f>IF(interventions!$A274&lt;&gt;"",interventions!$A274,"")</f>
        <v/>
      </c>
    </row>
    <row r="275" spans="1:1" x14ac:dyDescent="0.35">
      <c r="A275" s="2" t="str">
        <f>IF(interventions!$A275&lt;&gt;"",interventions!$A275,"")</f>
        <v/>
      </c>
    </row>
    <row r="276" spans="1:1" x14ac:dyDescent="0.35">
      <c r="A276" s="2" t="str">
        <f>IF(interventions!$A276&lt;&gt;"",interventions!$A276,"")</f>
        <v/>
      </c>
    </row>
    <row r="277" spans="1:1" x14ac:dyDescent="0.35">
      <c r="A277" s="2" t="str">
        <f>IF(interventions!$A277&lt;&gt;"",interventions!$A277,"")</f>
        <v/>
      </c>
    </row>
    <row r="278" spans="1:1" x14ac:dyDescent="0.35">
      <c r="A278" s="2" t="str">
        <f>IF(interventions!$A278&lt;&gt;"",interventions!$A278,"")</f>
        <v/>
      </c>
    </row>
    <row r="279" spans="1:1" x14ac:dyDescent="0.35">
      <c r="A279" s="2" t="str">
        <f>IF(interventions!$A279&lt;&gt;"",interventions!$A279,"")</f>
        <v/>
      </c>
    </row>
    <row r="280" spans="1:1" x14ac:dyDescent="0.35">
      <c r="A280" s="2" t="str">
        <f>IF(interventions!$A280&lt;&gt;"",interventions!$A280,"")</f>
        <v/>
      </c>
    </row>
    <row r="281" spans="1:1" x14ac:dyDescent="0.35">
      <c r="A281" s="2" t="str">
        <f>IF(interventions!$A281&lt;&gt;"",interventions!$A281,"")</f>
        <v/>
      </c>
    </row>
    <row r="282" spans="1:1" x14ac:dyDescent="0.35">
      <c r="A282" s="2" t="str">
        <f>IF(interventions!$A282&lt;&gt;"",interventions!$A282,"")</f>
        <v/>
      </c>
    </row>
    <row r="283" spans="1:1" x14ac:dyDescent="0.35">
      <c r="A283" s="2" t="str">
        <f>IF(interventions!$A283&lt;&gt;"",interventions!$A283,"")</f>
        <v/>
      </c>
    </row>
    <row r="284" spans="1:1" x14ac:dyDescent="0.35">
      <c r="A284" s="2" t="str">
        <f>IF(interventions!$A284&lt;&gt;"",interventions!$A284,"")</f>
        <v/>
      </c>
    </row>
    <row r="285" spans="1:1" x14ac:dyDescent="0.35">
      <c r="A285" s="2" t="str">
        <f>IF(interventions!$A285&lt;&gt;"",interventions!$A285,"")</f>
        <v/>
      </c>
    </row>
    <row r="286" spans="1:1" x14ac:dyDescent="0.35">
      <c r="A286" s="2" t="str">
        <f>IF(interventions!$A286&lt;&gt;"",interventions!$A286,"")</f>
        <v/>
      </c>
    </row>
    <row r="287" spans="1:1" x14ac:dyDescent="0.35">
      <c r="A287" s="2" t="str">
        <f>IF(interventions!$A287&lt;&gt;"",interventions!$A287,"")</f>
        <v/>
      </c>
    </row>
    <row r="288" spans="1:1" x14ac:dyDescent="0.35">
      <c r="A288" s="2" t="str">
        <f>IF(interventions!$A288&lt;&gt;"",interventions!$A288,"")</f>
        <v/>
      </c>
    </row>
    <row r="289" spans="1:1" x14ac:dyDescent="0.35">
      <c r="A289" s="2" t="str">
        <f>IF(interventions!$A289&lt;&gt;"",interventions!$A289,"")</f>
        <v/>
      </c>
    </row>
    <row r="290" spans="1:1" x14ac:dyDescent="0.35">
      <c r="A290" s="2" t="str">
        <f>IF(interventions!$A290&lt;&gt;"",interventions!$A290,"")</f>
        <v/>
      </c>
    </row>
    <row r="291" spans="1:1" x14ac:dyDescent="0.35">
      <c r="A291" s="2" t="str">
        <f>IF(interventions!$A291&lt;&gt;"",interventions!$A291,"")</f>
        <v/>
      </c>
    </row>
    <row r="292" spans="1:1" x14ac:dyDescent="0.35">
      <c r="A292" s="2" t="str">
        <f>IF(interventions!$A292&lt;&gt;"",interventions!$A292,"")</f>
        <v/>
      </c>
    </row>
    <row r="293" spans="1:1" x14ac:dyDescent="0.35">
      <c r="A293" s="2" t="str">
        <f>IF(interventions!$A293&lt;&gt;"",interventions!$A293,"")</f>
        <v/>
      </c>
    </row>
    <row r="294" spans="1:1" x14ac:dyDescent="0.35">
      <c r="A294" s="2" t="str">
        <f>IF(interventions!$A294&lt;&gt;"",interventions!$A294,"")</f>
        <v/>
      </c>
    </row>
    <row r="295" spans="1:1" x14ac:dyDescent="0.35">
      <c r="A295" s="2" t="str">
        <f>IF(interventions!$A295&lt;&gt;"",interventions!$A295,"")</f>
        <v/>
      </c>
    </row>
    <row r="296" spans="1:1" x14ac:dyDescent="0.35">
      <c r="A296" s="2" t="str">
        <f>IF(interventions!$A296&lt;&gt;"",interventions!$A296,"")</f>
        <v/>
      </c>
    </row>
  </sheetData>
  <conditionalFormatting sqref="B2:I4">
    <cfRule type="containsText" dxfId="2" priority="4" operator="containsText" text="y">
      <formula>NOT(ISERROR(SEARCH("y",B2)))</formula>
    </cfRule>
  </conditionalFormatting>
  <conditionalFormatting sqref="E7">
    <cfRule type="containsText" dxfId="1" priority="3" operator="containsText" text="y">
      <formula>NOT(ISERROR(SEARCH("y",E7)))</formula>
    </cfRule>
  </conditionalFormatting>
  <conditionalFormatting sqref="F5">
    <cfRule type="containsText" dxfId="0" priority="2" operator="containsText" text="y">
      <formula>NOT(ISERROR(SEARCH("y",F5)))</formula>
    </cfRule>
  </conditionalFormatting>
  <pageMargins left="0.7" right="0.7" top="0.75" bottom="0.75" header="0.3" footer="0.3"/>
  <pageSetup paperSize="9" orientation="portrait" horizontalDpi="4294967293" verticalDpi="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1B10C-2E4C-49C7-807A-7A54154A9E3B}">
  <sheetPr>
    <tabColor theme="5" tint="0.39997558519241921"/>
  </sheetPr>
  <dimension ref="A1:KJ309"/>
  <sheetViews>
    <sheetView topLeftCell="H1" zoomScale="63" zoomScaleNormal="63" workbookViewId="0">
      <selection activeCell="L27" sqref="L27"/>
    </sheetView>
  </sheetViews>
  <sheetFormatPr defaultRowHeight="14.5" x14ac:dyDescent="0.35"/>
  <cols>
    <col min="1" max="1" width="21.54296875" bestFit="1" customWidth="1"/>
    <col min="2" max="2" width="31.453125" style="10" customWidth="1"/>
    <col min="3" max="3" width="36.54296875" customWidth="1"/>
    <col min="4" max="4" width="32.81640625" customWidth="1"/>
    <col min="5" max="5" width="23.54296875" customWidth="1"/>
    <col min="6" max="6" width="22" bestFit="1" customWidth="1"/>
    <col min="7" max="7" width="19.54296875" customWidth="1"/>
    <col min="8" max="8" width="30.36328125" bestFit="1" customWidth="1"/>
    <col min="9" max="9" width="31.36328125" bestFit="1" customWidth="1"/>
    <col min="11" max="11" width="26.6328125" bestFit="1" customWidth="1"/>
    <col min="12" max="12" width="22.6328125" bestFit="1" customWidth="1"/>
  </cols>
  <sheetData>
    <row r="1" spans="1:296" x14ac:dyDescent="0.35">
      <c r="A1" s="2" t="s">
        <v>0</v>
      </c>
      <c r="B1" s="11" t="str">
        <f>IF(interventions!$A2&lt;&gt;"",interventions!$A2&amp;"_effect","")</f>
        <v>solar_system1_effect</v>
      </c>
      <c r="C1" s="2" t="str">
        <f>IF(interventions!$A3&lt;&gt;"",interventions!$A3&amp;"_effect","")</f>
        <v>led_light1_effect</v>
      </c>
      <c r="D1" s="2" t="str">
        <f>IF(interventions!$A4&lt;&gt;"",interventions!$A4&amp;"_effect","")</f>
        <v>energy_efficient_fridge1_effect</v>
      </c>
      <c r="E1" s="2" t="str">
        <f>IF(interventions!$A5&lt;&gt;"",interventions!$A5&amp;"_effect","")</f>
        <v>energy_efficient_fridge_multi5_effect</v>
      </c>
      <c r="F1" s="2" t="str">
        <f>IF(interventions!$A6&lt;&gt;"",interventions!$A6&amp;"_effect","")</f>
        <v>laundry_machine_effect</v>
      </c>
      <c r="G1" s="2" t="str">
        <f>IF(interventions!$A7&lt;&gt;"",interventions!$A7&amp;"_effect","")</f>
        <v>energy_efficient_ac_multi1_effect</v>
      </c>
      <c r="H1" s="2" t="str">
        <f>IF(interventions!$A8&lt;&gt;"",interventions!$A8&amp;"_effect","")</f>
        <v>energy_efficient_ac_multi5_effect</v>
      </c>
      <c r="I1" s="2" t="str">
        <f>IF(interventions!$A9&lt;&gt;"",interventions!$A9&amp;"_effect","")</f>
        <v>energy_efficient_ac_multi10_effect</v>
      </c>
      <c r="J1" s="2" t="str">
        <f>IF(interventions!$A10&lt;&gt;"",interventions!$A10&amp;"_effect","")</f>
        <v>tree_planting_multi100_effect</v>
      </c>
      <c r="K1" s="2" t="str">
        <f>IF(interventions!$A11&lt;&gt;"",interventions!$A11&amp;"_effect","")</f>
        <v>tree_planting_multi200_effect</v>
      </c>
      <c r="L1" s="2" t="str">
        <f>IF(interventions!$A12&lt;&gt;"",interventions!$A12&amp;"_effect","")</f>
        <v>waste_segregation_effect</v>
      </c>
      <c r="M1" s="2" t="str">
        <f>IF(interventions!$A13&lt;&gt;"",interventions!$A13&amp;"_effect","")</f>
        <v>staff_training_awareness_effect</v>
      </c>
      <c r="N1" s="2" t="str">
        <f>IF(interventions!$A14&lt;&gt;"",interventions!$A14&amp;"_effect","")</f>
        <v/>
      </c>
      <c r="O1" s="2" t="str">
        <f>IF(interventions!$A15&lt;&gt;"",interventions!$A15&amp;"_effect","")</f>
        <v/>
      </c>
      <c r="P1" s="2" t="str">
        <f>IF(interventions!$A16&lt;&gt;"",interventions!$A16&amp;"_effect","")</f>
        <v/>
      </c>
      <c r="Q1" s="2" t="str">
        <f>IF(interventions!$A17&lt;&gt;"",interventions!$A17&amp;"_effect","")</f>
        <v/>
      </c>
      <c r="R1" s="2" t="str">
        <f>IF(interventions!$A18&lt;&gt;"",interventions!$A18&amp;"_effect","")</f>
        <v/>
      </c>
      <c r="S1" s="2" t="str">
        <f>IF(interventions!$A19&lt;&gt;"",interventions!$A19&amp;"_effect","")</f>
        <v/>
      </c>
      <c r="T1" s="2" t="str">
        <f>IF(interventions!$A20&lt;&gt;"",interventions!$A20&amp;"_effect","")</f>
        <v/>
      </c>
      <c r="U1" s="2" t="str">
        <f>IF(interventions!$A21&lt;&gt;"",interventions!$A21&amp;"_effect","")</f>
        <v/>
      </c>
      <c r="V1" s="2" t="str">
        <f>IF(interventions!$A22&lt;&gt;"",interventions!$A22&amp;"_effect","")</f>
        <v/>
      </c>
      <c r="W1" s="2" t="str">
        <f>IF(interventions!$A23&lt;&gt;"",interventions!$A23&amp;"_effect","")</f>
        <v/>
      </c>
      <c r="X1" s="2" t="str">
        <f>IF(interventions!$A24&lt;&gt;"",interventions!$A24&amp;"_effect","")</f>
        <v/>
      </c>
      <c r="Y1" s="2" t="str">
        <f>IF(interventions!$A25&lt;&gt;"",interventions!$A25&amp;"_effect","")</f>
        <v/>
      </c>
      <c r="Z1" s="2" t="str">
        <f>IF(interventions!$A26&lt;&gt;"",interventions!$A26&amp;"_effect","")</f>
        <v/>
      </c>
      <c r="AA1" s="2" t="str">
        <f>IF(interventions!$A27&lt;&gt;"",interventions!$A27&amp;"_effect","")</f>
        <v/>
      </c>
      <c r="AB1" s="2" t="str">
        <f>IF(interventions!$A28&lt;&gt;"",interventions!$A28&amp;"_effect","")</f>
        <v/>
      </c>
      <c r="AC1" s="2" t="str">
        <f>IF(interventions!$A29&lt;&gt;"",interventions!$A29&amp;"_effect","")</f>
        <v/>
      </c>
      <c r="AD1" s="2" t="str">
        <f>IF(interventions!$A30&lt;&gt;"",interventions!$A30&amp;"_effect","")</f>
        <v/>
      </c>
      <c r="AE1" s="2" t="str">
        <f>IF(interventions!$A31&lt;&gt;"",interventions!$A31&amp;"_effect","")</f>
        <v/>
      </c>
      <c r="AF1" s="2" t="str">
        <f>IF(interventions!$A32&lt;&gt;"",interventions!$A32&amp;"_effect","")</f>
        <v/>
      </c>
      <c r="AG1" s="2" t="str">
        <f>IF(interventions!$A33&lt;&gt;"",interventions!$A33&amp;"_effect","")</f>
        <v/>
      </c>
      <c r="AH1" s="2" t="str">
        <f>IF(interventions!$A34&lt;&gt;"",interventions!$A34&amp;"_effect","")</f>
        <v/>
      </c>
      <c r="AI1" s="2" t="str">
        <f>IF(interventions!$A35&lt;&gt;"",interventions!$A35&amp;"_effect","")</f>
        <v/>
      </c>
      <c r="AJ1" s="2" t="str">
        <f>IF(interventions!$A36&lt;&gt;"",interventions!$A36&amp;"_effect","")</f>
        <v/>
      </c>
      <c r="AK1" s="2" t="str">
        <f>IF(interventions!$A37&lt;&gt;"",interventions!$A37&amp;"_effect","")</f>
        <v/>
      </c>
      <c r="AL1" s="2" t="str">
        <f>IF(interventions!$A38&lt;&gt;"",interventions!$A38&amp;"_effect","")</f>
        <v/>
      </c>
      <c r="AM1" s="2" t="str">
        <f>IF(interventions!$A39&lt;&gt;"",interventions!$A39&amp;"_effect","")</f>
        <v/>
      </c>
      <c r="AN1" s="2" t="str">
        <f>IF(interventions!$A40&lt;&gt;"",interventions!$A40&amp;"_effect","")</f>
        <v/>
      </c>
      <c r="AO1" s="2" t="str">
        <f>IF(interventions!$A41&lt;&gt;"",interventions!$A41&amp;"_effect","")</f>
        <v/>
      </c>
      <c r="AP1" s="2" t="str">
        <f>IF(interventions!$A42&lt;&gt;"",interventions!$A42&amp;"_effect","")</f>
        <v/>
      </c>
      <c r="AQ1" s="2" t="str">
        <f>IF(interventions!$A43&lt;&gt;"",interventions!$A43&amp;"_effect","")</f>
        <v/>
      </c>
      <c r="AR1" s="2" t="str">
        <f>IF(interventions!$A44&lt;&gt;"",interventions!$A44&amp;"_effect","")</f>
        <v/>
      </c>
      <c r="AS1" s="2" t="str">
        <f>IF(interventions!$A45&lt;&gt;"",interventions!$A45&amp;"_effect","")</f>
        <v/>
      </c>
      <c r="AT1" s="2" t="str">
        <f>IF(interventions!$A46&lt;&gt;"",interventions!$A46&amp;"_effect","")</f>
        <v/>
      </c>
      <c r="AU1" s="2" t="str">
        <f>IF(interventions!$A47&lt;&gt;"",interventions!$A47&amp;"_effect","")</f>
        <v/>
      </c>
      <c r="AV1" s="2" t="str">
        <f>IF(interventions!$A48&lt;&gt;"",interventions!$A48&amp;"_effect","")</f>
        <v/>
      </c>
      <c r="AW1" s="2" t="str">
        <f>IF(interventions!$A49&lt;&gt;"",interventions!$A49&amp;"_effect","")</f>
        <v/>
      </c>
      <c r="AX1" s="2" t="str">
        <f>IF(interventions!$A50&lt;&gt;"",interventions!$A50&amp;"_effect","")</f>
        <v/>
      </c>
      <c r="AY1" s="2" t="str">
        <f>IF(interventions!$A51&lt;&gt;"",interventions!$A51&amp;"_effect","")</f>
        <v/>
      </c>
      <c r="AZ1" s="2" t="str">
        <f>IF(interventions!$A52&lt;&gt;"",interventions!$A52&amp;"_effect","")</f>
        <v/>
      </c>
      <c r="BA1" s="2" t="str">
        <f>IF(interventions!$A53&lt;&gt;"",interventions!$A53&amp;"_effect","")</f>
        <v/>
      </c>
      <c r="BB1" s="2" t="str">
        <f>IF(interventions!$A54&lt;&gt;"",interventions!$A54&amp;"_effect","")</f>
        <v/>
      </c>
      <c r="BC1" s="2" t="str">
        <f>IF(interventions!$A55&lt;&gt;"",interventions!$A55&amp;"_effect","")</f>
        <v/>
      </c>
      <c r="BD1" s="2" t="str">
        <f>IF(interventions!$A56&lt;&gt;"",interventions!$A56&amp;"_effect","")</f>
        <v/>
      </c>
      <c r="BE1" s="2" t="str">
        <f>IF(interventions!$A57&lt;&gt;"",interventions!$A57&amp;"_effect","")</f>
        <v/>
      </c>
      <c r="BF1" s="2" t="str">
        <f>IF(interventions!$A58&lt;&gt;"",interventions!$A58&amp;"_effect","")</f>
        <v/>
      </c>
      <c r="BG1" s="2" t="str">
        <f>IF(interventions!$A59&lt;&gt;"",interventions!$A59&amp;"_effect","")</f>
        <v/>
      </c>
      <c r="BH1" s="2" t="str">
        <f>IF(interventions!$A60&lt;&gt;"",interventions!$A60&amp;"_effect","")</f>
        <v/>
      </c>
      <c r="BI1" s="2" t="str">
        <f>IF(interventions!$A61&lt;&gt;"",interventions!$A61&amp;"_effect","")</f>
        <v/>
      </c>
      <c r="BJ1" s="2" t="str">
        <f>IF(interventions!$A62&lt;&gt;"",interventions!$A62&amp;"_effect","")</f>
        <v/>
      </c>
      <c r="BK1" s="2" t="str">
        <f>IF(interventions!$A63&lt;&gt;"",interventions!$A63&amp;"_effect","")</f>
        <v/>
      </c>
      <c r="BL1" s="2" t="str">
        <f>IF(interventions!$A64&lt;&gt;"",interventions!$A64&amp;"_effect","")</f>
        <v/>
      </c>
      <c r="BM1" s="2" t="str">
        <f>IF(interventions!$A65&lt;&gt;"",interventions!$A65&amp;"_effect","")</f>
        <v/>
      </c>
      <c r="BN1" s="2" t="str">
        <f>IF(interventions!$A66&lt;&gt;"",interventions!$A66&amp;"_effect","")</f>
        <v/>
      </c>
      <c r="BO1" s="2" t="str">
        <f>IF(interventions!$A67&lt;&gt;"",interventions!$A67&amp;"_effect","")</f>
        <v/>
      </c>
      <c r="BP1" s="2" t="str">
        <f>IF(interventions!$A68&lt;&gt;"",interventions!$A68&amp;"_effect","")</f>
        <v/>
      </c>
      <c r="BQ1" s="2" t="str">
        <f>IF(interventions!$A69&lt;&gt;"",interventions!$A69&amp;"_effect","")</f>
        <v/>
      </c>
      <c r="BR1" s="2" t="str">
        <f>IF(interventions!$A70&lt;&gt;"",interventions!$A70&amp;"_effect","")</f>
        <v/>
      </c>
      <c r="BS1" s="2" t="str">
        <f>IF(interventions!$A71&lt;&gt;"",interventions!$A71&amp;"_effect","")</f>
        <v/>
      </c>
      <c r="BT1" s="2" t="str">
        <f>IF(interventions!$A72&lt;&gt;"",interventions!$A72&amp;"_effect","")</f>
        <v/>
      </c>
      <c r="BU1" s="2" t="str">
        <f>IF(interventions!$A73&lt;&gt;"",interventions!$A73&amp;"_effect","")</f>
        <v/>
      </c>
      <c r="BV1" s="2" t="str">
        <f>IF(interventions!$A74&lt;&gt;"",interventions!$A74&amp;"_effect","")</f>
        <v/>
      </c>
      <c r="BW1" s="2" t="str">
        <f>IF(interventions!$A75&lt;&gt;"",interventions!$A75&amp;"_effect","")</f>
        <v/>
      </c>
      <c r="BX1" s="2" t="str">
        <f>IF(interventions!$A76&lt;&gt;"",interventions!$A76&amp;"_effect","")</f>
        <v/>
      </c>
      <c r="BY1" s="2" t="str">
        <f>IF(interventions!$A77&lt;&gt;"",interventions!$A77&amp;"_effect","")</f>
        <v/>
      </c>
      <c r="BZ1" s="2" t="str">
        <f>IF(interventions!$A78&lt;&gt;"",interventions!$A78&amp;"_effect","")</f>
        <v/>
      </c>
      <c r="CA1" s="2" t="str">
        <f>IF(interventions!$A79&lt;&gt;"",interventions!$A79&amp;"_effect","")</f>
        <v/>
      </c>
      <c r="CB1" s="2" t="str">
        <f>IF(interventions!$A80&lt;&gt;"",interventions!$A80&amp;"_effect","")</f>
        <v/>
      </c>
      <c r="CC1" s="2" t="str">
        <f>IF(interventions!$A81&lt;&gt;"",interventions!$A81&amp;"_effect","")</f>
        <v/>
      </c>
      <c r="CD1" s="2" t="str">
        <f>IF(interventions!$A82&lt;&gt;"",interventions!$A82&amp;"_effect","")</f>
        <v/>
      </c>
      <c r="CE1" s="2" t="str">
        <f>IF(interventions!$A83&lt;&gt;"",interventions!$A83&amp;"_effect","")</f>
        <v/>
      </c>
      <c r="CF1" s="2" t="str">
        <f>IF(interventions!$A84&lt;&gt;"",interventions!$A84&amp;"_effect","")</f>
        <v/>
      </c>
      <c r="CG1" s="2" t="str">
        <f>IF(interventions!$A85&lt;&gt;"",interventions!$A85&amp;"_effect","")</f>
        <v/>
      </c>
      <c r="CH1" s="2" t="str">
        <f>IF(interventions!$A86&lt;&gt;"",interventions!$A86&amp;"_effect","")</f>
        <v/>
      </c>
      <c r="CI1" s="2" t="str">
        <f>IF(interventions!$A87&lt;&gt;"",interventions!$A87&amp;"_effect","")</f>
        <v/>
      </c>
      <c r="CJ1" s="2" t="str">
        <f>IF(interventions!$A88&lt;&gt;"",interventions!$A88&amp;"_effect","")</f>
        <v/>
      </c>
      <c r="CK1" s="2" t="str">
        <f>IF(interventions!$A89&lt;&gt;"",interventions!$A89&amp;"_effect","")</f>
        <v/>
      </c>
      <c r="CL1" s="2" t="str">
        <f>IF(interventions!$A90&lt;&gt;"",interventions!$A90&amp;"_effect","")</f>
        <v/>
      </c>
      <c r="CM1" s="2" t="str">
        <f>IF(interventions!$A91&lt;&gt;"",interventions!$A91&amp;"_effect","")</f>
        <v/>
      </c>
      <c r="CN1" s="2" t="str">
        <f>IF(interventions!$A92&lt;&gt;"",interventions!$A92&amp;"_effect","")</f>
        <v/>
      </c>
      <c r="CO1" s="2" t="str">
        <f>IF(interventions!$A93&lt;&gt;"",interventions!$A93&amp;"_effect","")</f>
        <v/>
      </c>
      <c r="CP1" s="2" t="str">
        <f>IF(interventions!$A94&lt;&gt;"",interventions!$A94&amp;"_effect","")</f>
        <v/>
      </c>
      <c r="CQ1" s="2" t="str">
        <f>IF(interventions!$A95&lt;&gt;"",interventions!$A95&amp;"_effect","")</f>
        <v/>
      </c>
      <c r="CR1" s="2" t="str">
        <f>IF(interventions!$A96&lt;&gt;"",interventions!$A96&amp;"_effect","")</f>
        <v/>
      </c>
      <c r="CS1" s="2" t="str">
        <f>IF(interventions!$A97&lt;&gt;"",interventions!$A97&amp;"_effect","")</f>
        <v/>
      </c>
      <c r="CT1" s="2" t="str">
        <f>IF(interventions!$A98&lt;&gt;"",interventions!$A98&amp;"_effect","")</f>
        <v/>
      </c>
      <c r="CU1" s="2" t="str">
        <f>IF(interventions!$A99&lt;&gt;"",interventions!$A99&amp;"_effect","")</f>
        <v/>
      </c>
      <c r="CV1" s="2" t="str">
        <f>IF(interventions!$A100&lt;&gt;"",interventions!$A100&amp;"_effect","")</f>
        <v/>
      </c>
      <c r="CW1" s="2" t="str">
        <f>IF(interventions!$A101&lt;&gt;"",interventions!$A101&amp;"_effect","")</f>
        <v/>
      </c>
      <c r="CX1" s="2" t="str">
        <f>IF(interventions!$A102&lt;&gt;"",interventions!$A102&amp;"_effect","")</f>
        <v/>
      </c>
      <c r="CY1" s="2" t="str">
        <f>IF(interventions!$A103&lt;&gt;"",interventions!$A103&amp;"_effect","")</f>
        <v/>
      </c>
      <c r="CZ1" s="2" t="str">
        <f>IF(interventions!$A104&lt;&gt;"",interventions!$A104&amp;"_effect","")</f>
        <v/>
      </c>
      <c r="DA1" s="2" t="str">
        <f>IF(interventions!$A105&lt;&gt;"",interventions!$A105&amp;"_effect","")</f>
        <v/>
      </c>
      <c r="DB1" s="2" t="str">
        <f>IF(interventions!$A106&lt;&gt;"",interventions!$A106&amp;"_effect","")</f>
        <v/>
      </c>
      <c r="DC1" s="2" t="str">
        <f>IF(interventions!$A107&lt;&gt;"",interventions!$A107&amp;"_effect","")</f>
        <v/>
      </c>
      <c r="DD1" s="2" t="str">
        <f>IF(interventions!$A108&lt;&gt;"",interventions!$A108&amp;"_effect","")</f>
        <v/>
      </c>
      <c r="DE1" s="2" t="str">
        <f>IF(interventions!$A109&lt;&gt;"",interventions!$A109&amp;"_effect","")</f>
        <v/>
      </c>
      <c r="DF1" s="2" t="str">
        <f>IF(interventions!$A110&lt;&gt;"",interventions!$A110&amp;"_effect","")</f>
        <v/>
      </c>
      <c r="DG1" s="2" t="str">
        <f>IF(interventions!$A111&lt;&gt;"",interventions!$A111&amp;"_effect","")</f>
        <v/>
      </c>
      <c r="DH1" s="2" t="str">
        <f>IF(interventions!$A112&lt;&gt;"",interventions!$A112&amp;"_effect","")</f>
        <v/>
      </c>
      <c r="DI1" s="2" t="str">
        <f>IF(interventions!$A113&lt;&gt;"",interventions!$A113&amp;"_effect","")</f>
        <v/>
      </c>
      <c r="DJ1" s="2" t="str">
        <f>IF(interventions!$A114&lt;&gt;"",interventions!$A114&amp;"_effect","")</f>
        <v/>
      </c>
      <c r="DK1" s="2" t="str">
        <f>IF(interventions!$A115&lt;&gt;"",interventions!$A115&amp;"_effect","")</f>
        <v/>
      </c>
      <c r="DL1" s="2" t="str">
        <f>IF(interventions!$A116&lt;&gt;"",interventions!$A116&amp;"_effect","")</f>
        <v/>
      </c>
      <c r="DM1" s="2" t="str">
        <f>IF(interventions!$A117&lt;&gt;"",interventions!$A117&amp;"_effect","")</f>
        <v/>
      </c>
      <c r="DN1" s="2" t="str">
        <f>IF(interventions!$A118&lt;&gt;"",interventions!$A118&amp;"_effect","")</f>
        <v/>
      </c>
      <c r="DO1" s="2" t="str">
        <f>IF(interventions!$A119&lt;&gt;"",interventions!$A119&amp;"_effect","")</f>
        <v/>
      </c>
      <c r="DP1" s="2" t="str">
        <f>IF(interventions!$A120&lt;&gt;"",interventions!$A120&amp;"_effect","")</f>
        <v/>
      </c>
      <c r="DQ1" s="2" t="str">
        <f>IF(interventions!$A121&lt;&gt;"",interventions!$A121&amp;"_effect","")</f>
        <v/>
      </c>
      <c r="DR1" s="2" t="str">
        <f>IF(interventions!$A122&lt;&gt;"",interventions!$A122&amp;"_effect","")</f>
        <v/>
      </c>
      <c r="DS1" s="2" t="str">
        <f>IF(interventions!$A123&lt;&gt;"",interventions!$A123&amp;"_effect","")</f>
        <v/>
      </c>
      <c r="DT1" s="2" t="str">
        <f>IF(interventions!$A124&lt;&gt;"",interventions!$A124&amp;"_effect","")</f>
        <v/>
      </c>
      <c r="DU1" s="2" t="str">
        <f>IF(interventions!$A125&lt;&gt;"",interventions!$A125&amp;"_effect","")</f>
        <v/>
      </c>
      <c r="DV1" s="2" t="str">
        <f>IF(interventions!$A126&lt;&gt;"",interventions!$A126&amp;"_effect","")</f>
        <v/>
      </c>
      <c r="DW1" s="2" t="str">
        <f>IF(interventions!$A127&lt;&gt;"",interventions!$A127&amp;"_effect","")</f>
        <v/>
      </c>
      <c r="DX1" s="2" t="str">
        <f>IF(interventions!$A128&lt;&gt;"",interventions!$A128&amp;"_effect","")</f>
        <v/>
      </c>
      <c r="DY1" s="2" t="str">
        <f>IF(interventions!$A129&lt;&gt;"",interventions!$A129&amp;"_effect","")</f>
        <v/>
      </c>
      <c r="DZ1" s="2" t="str">
        <f>IF(interventions!$A130&lt;&gt;"",interventions!$A130&amp;"_effect","")</f>
        <v/>
      </c>
      <c r="EA1" s="2" t="str">
        <f>IF(interventions!$A131&lt;&gt;"",interventions!$A131&amp;"_effect","")</f>
        <v/>
      </c>
      <c r="EB1" s="2" t="str">
        <f>IF(interventions!$A132&lt;&gt;"",interventions!$A132&amp;"_effect","")</f>
        <v/>
      </c>
      <c r="EC1" s="2" t="str">
        <f>IF(interventions!$A133&lt;&gt;"",interventions!$A133&amp;"_effect","")</f>
        <v/>
      </c>
      <c r="ED1" s="2" t="str">
        <f>IF(interventions!$A134&lt;&gt;"",interventions!$A134&amp;"_effect","")</f>
        <v/>
      </c>
      <c r="EE1" s="2" t="str">
        <f>IF(interventions!$A135&lt;&gt;"",interventions!$A135&amp;"_effect","")</f>
        <v/>
      </c>
      <c r="EF1" s="2" t="str">
        <f>IF(interventions!$A136&lt;&gt;"",interventions!$A136&amp;"_effect","")</f>
        <v/>
      </c>
      <c r="EG1" s="2" t="str">
        <f>IF(interventions!$A137&lt;&gt;"",interventions!$A137&amp;"_effect","")</f>
        <v/>
      </c>
      <c r="EH1" s="2" t="str">
        <f>IF(interventions!$A138&lt;&gt;"",interventions!$A138&amp;"_effect","")</f>
        <v/>
      </c>
      <c r="EI1" s="2" t="str">
        <f>IF(interventions!$A139&lt;&gt;"",interventions!$A139&amp;"_effect","")</f>
        <v/>
      </c>
      <c r="EJ1" s="2" t="str">
        <f>IF(interventions!$A140&lt;&gt;"",interventions!$A140&amp;"_effect","")</f>
        <v/>
      </c>
      <c r="EK1" s="2" t="str">
        <f>IF(interventions!$A141&lt;&gt;"",interventions!$A141&amp;"_effect","")</f>
        <v/>
      </c>
      <c r="EL1" s="2" t="str">
        <f>IF(interventions!$A142&lt;&gt;"",interventions!$A142&amp;"_effect","")</f>
        <v/>
      </c>
      <c r="EM1" s="2" t="str">
        <f>IF(interventions!$A143&lt;&gt;"",interventions!$A143&amp;"_effect","")</f>
        <v/>
      </c>
      <c r="EN1" s="2" t="str">
        <f>IF(interventions!$A144&lt;&gt;"",interventions!$A144&amp;"_effect","")</f>
        <v/>
      </c>
      <c r="EO1" s="2" t="str">
        <f>IF(interventions!$A145&lt;&gt;"",interventions!$A145&amp;"_effect","")</f>
        <v/>
      </c>
      <c r="EP1" s="2" t="str">
        <f>IF(interventions!$A146&lt;&gt;"",interventions!$A146&amp;"_effect","")</f>
        <v/>
      </c>
      <c r="EQ1" s="2" t="str">
        <f>IF(interventions!$A147&lt;&gt;"",interventions!$A147&amp;"_effect","")</f>
        <v/>
      </c>
      <c r="ER1" s="2" t="str">
        <f>IF(interventions!$A148&lt;&gt;"",interventions!$A148&amp;"_effect","")</f>
        <v/>
      </c>
      <c r="ES1" s="2" t="str">
        <f>IF(interventions!$A149&lt;&gt;"",interventions!$A149&amp;"_effect","")</f>
        <v/>
      </c>
      <c r="ET1" s="2" t="str">
        <f>IF(interventions!$A150&lt;&gt;"",interventions!$A150&amp;"_effect","")</f>
        <v/>
      </c>
      <c r="EU1" s="2" t="str">
        <f>IF(interventions!$A151&lt;&gt;"",interventions!$A151&amp;"_effect","")</f>
        <v/>
      </c>
      <c r="EV1" s="2" t="str">
        <f>IF(interventions!$A152&lt;&gt;"",interventions!$A152&amp;"_effect","")</f>
        <v/>
      </c>
      <c r="EW1" s="2" t="str">
        <f>IF(interventions!$A153&lt;&gt;"",interventions!$A153&amp;"_effect","")</f>
        <v/>
      </c>
      <c r="EX1" s="2" t="str">
        <f>IF(interventions!$A154&lt;&gt;"",interventions!$A154&amp;"_effect","")</f>
        <v/>
      </c>
      <c r="EY1" s="2" t="str">
        <f>IF(interventions!$A155&lt;&gt;"",interventions!$A155&amp;"_effect","")</f>
        <v/>
      </c>
      <c r="EZ1" s="2" t="str">
        <f>IF(interventions!$A156&lt;&gt;"",interventions!$A156&amp;"_effect","")</f>
        <v/>
      </c>
      <c r="FA1" s="2" t="str">
        <f>IF(interventions!$A157&lt;&gt;"",interventions!$A157&amp;"_effect","")</f>
        <v/>
      </c>
      <c r="FB1" s="2" t="str">
        <f>IF(interventions!$A158&lt;&gt;"",interventions!$A158&amp;"_effect","")</f>
        <v/>
      </c>
      <c r="FC1" s="2" t="str">
        <f>IF(interventions!$A159&lt;&gt;"",interventions!$A159&amp;"_effect","")</f>
        <v/>
      </c>
      <c r="FD1" s="2" t="str">
        <f>IF(interventions!$A160&lt;&gt;"",interventions!$A160&amp;"_effect","")</f>
        <v/>
      </c>
      <c r="FE1" s="2" t="str">
        <f>IF(interventions!$A161&lt;&gt;"",interventions!$A161&amp;"_effect","")</f>
        <v/>
      </c>
      <c r="FF1" s="2" t="str">
        <f>IF(interventions!$A162&lt;&gt;"",interventions!$A162&amp;"_effect","")</f>
        <v/>
      </c>
      <c r="FG1" s="2" t="str">
        <f>IF(interventions!$A163&lt;&gt;"",interventions!$A163&amp;"_effect","")</f>
        <v/>
      </c>
      <c r="FH1" s="2" t="str">
        <f>IF(interventions!$A164&lt;&gt;"",interventions!$A164&amp;"_effect","")</f>
        <v/>
      </c>
      <c r="FI1" s="2" t="str">
        <f>IF(interventions!$A165&lt;&gt;"",interventions!$A165&amp;"_effect","")</f>
        <v/>
      </c>
      <c r="FJ1" s="2" t="str">
        <f>IF(interventions!$A166&lt;&gt;"",interventions!$A166&amp;"_effect","")</f>
        <v/>
      </c>
      <c r="FK1" s="2" t="str">
        <f>IF(interventions!$A167&lt;&gt;"",interventions!$A167&amp;"_effect","")</f>
        <v/>
      </c>
      <c r="FL1" s="2" t="str">
        <f>IF(interventions!$A168&lt;&gt;"",interventions!$A168&amp;"_effect","")</f>
        <v/>
      </c>
      <c r="FM1" s="2" t="str">
        <f>IF(interventions!$A169&lt;&gt;"",interventions!$A169&amp;"_effect","")</f>
        <v/>
      </c>
      <c r="FN1" s="2" t="str">
        <f>IF(interventions!$A170&lt;&gt;"",interventions!$A170&amp;"_effect","")</f>
        <v/>
      </c>
      <c r="FO1" s="2" t="str">
        <f>IF(interventions!$A171&lt;&gt;"",interventions!$A171&amp;"_effect","")</f>
        <v/>
      </c>
      <c r="FP1" s="2" t="str">
        <f>IF(interventions!$A172&lt;&gt;"",interventions!$A172&amp;"_effect","")</f>
        <v/>
      </c>
      <c r="FQ1" s="2" t="str">
        <f>IF(interventions!$A173&lt;&gt;"",interventions!$A173&amp;"_effect","")</f>
        <v/>
      </c>
      <c r="FR1" s="2" t="str">
        <f>IF(interventions!$A174&lt;&gt;"",interventions!$A174&amp;"_effect","")</f>
        <v/>
      </c>
      <c r="FS1" s="2" t="str">
        <f>IF(interventions!$A175&lt;&gt;"",interventions!$A175&amp;"_effect","")</f>
        <v/>
      </c>
      <c r="FT1" s="2" t="str">
        <f>IF(interventions!$A176&lt;&gt;"",interventions!$A176&amp;"_effect","")</f>
        <v/>
      </c>
      <c r="FU1" s="2" t="str">
        <f>IF(interventions!$A177&lt;&gt;"",interventions!$A177&amp;"_effect","")</f>
        <v/>
      </c>
      <c r="FV1" s="2" t="str">
        <f>IF(interventions!$A178&lt;&gt;"",interventions!$A178&amp;"_effect","")</f>
        <v/>
      </c>
      <c r="FW1" s="2" t="str">
        <f>IF(interventions!$A179&lt;&gt;"",interventions!$A179&amp;"_effect","")</f>
        <v/>
      </c>
      <c r="FX1" s="2" t="str">
        <f>IF(interventions!$A180&lt;&gt;"",interventions!$A180&amp;"_effect","")</f>
        <v/>
      </c>
      <c r="FY1" s="2" t="str">
        <f>IF(interventions!$A181&lt;&gt;"",interventions!$A181&amp;"_effect","")</f>
        <v/>
      </c>
      <c r="FZ1" s="2" t="str">
        <f>IF(interventions!$A182&lt;&gt;"",interventions!$A182&amp;"_effect","")</f>
        <v/>
      </c>
      <c r="GA1" s="2" t="str">
        <f>IF(interventions!$A183&lt;&gt;"",interventions!$A183&amp;"_effect","")</f>
        <v/>
      </c>
      <c r="GB1" s="2" t="str">
        <f>IF(interventions!$A184&lt;&gt;"",interventions!$A184&amp;"_effect","")</f>
        <v/>
      </c>
      <c r="GC1" s="2" t="str">
        <f>IF(interventions!$A185&lt;&gt;"",interventions!$A185&amp;"_effect","")</f>
        <v/>
      </c>
      <c r="GD1" s="2" t="str">
        <f>IF(interventions!$A186&lt;&gt;"",interventions!$A186&amp;"_effect","")</f>
        <v/>
      </c>
      <c r="GE1" s="2" t="str">
        <f>IF(interventions!$A187&lt;&gt;"",interventions!$A187&amp;"_effect","")</f>
        <v/>
      </c>
      <c r="GF1" s="2" t="str">
        <f>IF(interventions!$A188&lt;&gt;"",interventions!$A188&amp;"_effect","")</f>
        <v/>
      </c>
      <c r="GG1" s="2" t="str">
        <f>IF(interventions!$A189&lt;&gt;"",interventions!$A189&amp;"_effect","")</f>
        <v/>
      </c>
      <c r="GH1" s="2" t="str">
        <f>IF(interventions!$A190&lt;&gt;"",interventions!$A190&amp;"_effect","")</f>
        <v/>
      </c>
      <c r="GI1" s="2" t="str">
        <f>IF(interventions!$A191&lt;&gt;"",interventions!$A191&amp;"_effect","")</f>
        <v/>
      </c>
      <c r="GJ1" s="2" t="str">
        <f>IF(interventions!$A192&lt;&gt;"",interventions!$A192&amp;"_effect","")</f>
        <v/>
      </c>
      <c r="GK1" s="2" t="str">
        <f>IF(interventions!$A193&lt;&gt;"",interventions!$A193&amp;"_effect","")</f>
        <v/>
      </c>
      <c r="GL1" s="2" t="str">
        <f>IF(interventions!$A194&lt;&gt;"",interventions!$A194&amp;"_effect","")</f>
        <v/>
      </c>
      <c r="GM1" s="2" t="str">
        <f>IF(interventions!$A195&lt;&gt;"",interventions!$A195&amp;"_effect","")</f>
        <v/>
      </c>
      <c r="GN1" s="2" t="str">
        <f>IF(interventions!$A196&lt;&gt;"",interventions!$A196&amp;"_effect","")</f>
        <v/>
      </c>
      <c r="GO1" s="2" t="str">
        <f>IF(interventions!$A197&lt;&gt;"",interventions!$A197&amp;"_effect","")</f>
        <v/>
      </c>
      <c r="GP1" s="2" t="str">
        <f>IF(interventions!$A198&lt;&gt;"",interventions!$A198&amp;"_effect","")</f>
        <v/>
      </c>
      <c r="GQ1" s="2" t="str">
        <f>IF(interventions!$A199&lt;&gt;"",interventions!$A199&amp;"_effect","")</f>
        <v/>
      </c>
      <c r="GR1" s="2" t="str">
        <f>IF(interventions!$A200&lt;&gt;"",interventions!$A200&amp;"_effect","")</f>
        <v/>
      </c>
      <c r="GS1" s="2" t="str">
        <f>IF(interventions!$A201&lt;&gt;"",interventions!$A201&amp;"_effect","")</f>
        <v/>
      </c>
      <c r="GT1" s="2" t="str">
        <f>IF(interventions!$A202&lt;&gt;"",interventions!$A202&amp;"_effect","")</f>
        <v/>
      </c>
      <c r="GU1" s="2" t="str">
        <f>IF(interventions!$A203&lt;&gt;"",interventions!$A203&amp;"_effect","")</f>
        <v/>
      </c>
      <c r="GV1" s="2" t="str">
        <f>IF(interventions!$A204&lt;&gt;"",interventions!$A204&amp;"_effect","")</f>
        <v/>
      </c>
      <c r="GW1" s="2" t="str">
        <f>IF(interventions!$A205&lt;&gt;"",interventions!$A205&amp;"_effect","")</f>
        <v/>
      </c>
      <c r="GX1" s="2" t="str">
        <f>IF(interventions!$A206&lt;&gt;"",interventions!$A206&amp;"_effect","")</f>
        <v/>
      </c>
      <c r="GY1" s="2" t="str">
        <f>IF(interventions!$A207&lt;&gt;"",interventions!$A207&amp;"_effect","")</f>
        <v/>
      </c>
      <c r="GZ1" s="2" t="str">
        <f>IF(interventions!$A208&lt;&gt;"",interventions!$A208&amp;"_effect","")</f>
        <v/>
      </c>
      <c r="HA1" s="2" t="str">
        <f>IF(interventions!$A209&lt;&gt;"",interventions!$A209&amp;"_effect","")</f>
        <v/>
      </c>
      <c r="HB1" s="2" t="str">
        <f>IF(interventions!$A210&lt;&gt;"",interventions!$A210&amp;"_effect","")</f>
        <v/>
      </c>
      <c r="HC1" s="2" t="str">
        <f>IF(interventions!$A211&lt;&gt;"",interventions!$A211&amp;"_effect","")</f>
        <v/>
      </c>
      <c r="HD1" s="2" t="str">
        <f>IF(interventions!$A212&lt;&gt;"",interventions!$A212&amp;"_effect","")</f>
        <v/>
      </c>
      <c r="HE1" s="2" t="str">
        <f>IF(interventions!$A213&lt;&gt;"",interventions!$A213&amp;"_effect","")</f>
        <v/>
      </c>
      <c r="HF1" s="2" t="str">
        <f>IF(interventions!$A214&lt;&gt;"",interventions!$A214&amp;"_effect","")</f>
        <v/>
      </c>
      <c r="HG1" s="2" t="str">
        <f>IF(interventions!$A215&lt;&gt;"",interventions!$A215&amp;"_effect","")</f>
        <v/>
      </c>
      <c r="HH1" s="2" t="str">
        <f>IF(interventions!$A216&lt;&gt;"",interventions!$A216&amp;"_effect","")</f>
        <v/>
      </c>
      <c r="HI1" s="2" t="str">
        <f>IF(interventions!$A217&lt;&gt;"",interventions!$A217&amp;"_effect","")</f>
        <v/>
      </c>
      <c r="HJ1" s="2" t="str">
        <f>IF(interventions!$A218&lt;&gt;"",interventions!$A218&amp;"_effect","")</f>
        <v/>
      </c>
      <c r="HK1" s="2" t="str">
        <f>IF(interventions!$A219&lt;&gt;"",interventions!$A219&amp;"_effect","")</f>
        <v/>
      </c>
      <c r="HL1" s="2" t="str">
        <f>IF(interventions!$A220&lt;&gt;"",interventions!$A220&amp;"_effect","")</f>
        <v/>
      </c>
      <c r="HM1" s="2" t="str">
        <f>IF(interventions!$A221&lt;&gt;"",interventions!$A221&amp;"_effect","")</f>
        <v/>
      </c>
      <c r="HN1" s="2" t="str">
        <f>IF(interventions!$A222&lt;&gt;"",interventions!$A222&amp;"_effect","")</f>
        <v/>
      </c>
      <c r="HO1" s="2" t="str">
        <f>IF(interventions!$A223&lt;&gt;"",interventions!$A223&amp;"_effect","")</f>
        <v/>
      </c>
      <c r="HP1" s="2" t="str">
        <f>IF(interventions!$A224&lt;&gt;"",interventions!$A224&amp;"_effect","")</f>
        <v/>
      </c>
      <c r="HQ1" s="2" t="str">
        <f>IF(interventions!$A225&lt;&gt;"",interventions!$A225&amp;"_effect","")</f>
        <v/>
      </c>
      <c r="HR1" s="2" t="str">
        <f>IF(interventions!$A226&lt;&gt;"",interventions!$A226&amp;"_effect","")</f>
        <v/>
      </c>
      <c r="HS1" s="2" t="str">
        <f>IF(interventions!$A227&lt;&gt;"",interventions!$A227&amp;"_effect","")</f>
        <v/>
      </c>
      <c r="HT1" s="2" t="str">
        <f>IF(interventions!$A228&lt;&gt;"",interventions!$A228&amp;"_effect","")</f>
        <v/>
      </c>
      <c r="HU1" s="2" t="str">
        <f>IF(interventions!$A229&lt;&gt;"",interventions!$A229&amp;"_effect","")</f>
        <v/>
      </c>
      <c r="HV1" s="2" t="str">
        <f>IF(interventions!$A230&lt;&gt;"",interventions!$A230&amp;"_effect","")</f>
        <v/>
      </c>
      <c r="HW1" s="2" t="str">
        <f>IF(interventions!$A231&lt;&gt;"",interventions!$A231&amp;"_effect","")</f>
        <v/>
      </c>
      <c r="HX1" s="2" t="str">
        <f>IF(interventions!$A232&lt;&gt;"",interventions!$A232&amp;"_effect","")</f>
        <v/>
      </c>
      <c r="HY1" s="2" t="str">
        <f>IF(interventions!$A233&lt;&gt;"",interventions!$A233&amp;"_effect","")</f>
        <v/>
      </c>
      <c r="HZ1" s="2" t="str">
        <f>IF(interventions!$A234&lt;&gt;"",interventions!$A234&amp;"_effect","")</f>
        <v/>
      </c>
      <c r="IA1" s="2" t="str">
        <f>IF(interventions!$A235&lt;&gt;"",interventions!$A235&amp;"_effect","")</f>
        <v/>
      </c>
      <c r="IB1" s="2" t="str">
        <f>IF(interventions!$A236&lt;&gt;"",interventions!$A236&amp;"_effect","")</f>
        <v/>
      </c>
      <c r="IC1" s="2" t="str">
        <f>IF(interventions!$A237&lt;&gt;"",interventions!$A237&amp;"_effect","")</f>
        <v/>
      </c>
      <c r="ID1" s="2" t="str">
        <f>IF(interventions!$A238&lt;&gt;"",interventions!$A238&amp;"_effect","")</f>
        <v/>
      </c>
      <c r="IE1" s="2" t="str">
        <f>IF(interventions!$A239&lt;&gt;"",interventions!$A239&amp;"_effect","")</f>
        <v/>
      </c>
      <c r="IF1" s="2" t="str">
        <f>IF(interventions!$A240&lt;&gt;"",interventions!$A240&amp;"_effect","")</f>
        <v/>
      </c>
      <c r="IG1" s="2" t="str">
        <f>IF(interventions!$A241&lt;&gt;"",interventions!$A241&amp;"_effect","")</f>
        <v/>
      </c>
      <c r="IH1" s="2" t="str">
        <f>IF(interventions!$A242&lt;&gt;"",interventions!$A242&amp;"_effect","")</f>
        <v/>
      </c>
      <c r="II1" s="2" t="str">
        <f>IF(interventions!$A243&lt;&gt;"",interventions!$A243&amp;"_effect","")</f>
        <v/>
      </c>
      <c r="IJ1" s="2" t="str">
        <f>IF(interventions!$A244&lt;&gt;"",interventions!$A244&amp;"_effect","")</f>
        <v/>
      </c>
      <c r="IK1" s="2" t="str">
        <f>IF(interventions!$A245&lt;&gt;"",interventions!$A245&amp;"_effect","")</f>
        <v/>
      </c>
      <c r="IL1" s="2" t="str">
        <f>IF(interventions!$A246&lt;&gt;"",interventions!$A246&amp;"_effect","")</f>
        <v/>
      </c>
      <c r="IM1" s="2" t="str">
        <f>IF(interventions!$A247&lt;&gt;"",interventions!$A247&amp;"_effect","")</f>
        <v/>
      </c>
      <c r="IN1" s="2" t="str">
        <f>IF(interventions!$A248&lt;&gt;"",interventions!$A248&amp;"_effect","")</f>
        <v/>
      </c>
      <c r="IO1" s="2" t="str">
        <f>IF(interventions!$A249&lt;&gt;"",interventions!$A249&amp;"_effect","")</f>
        <v/>
      </c>
      <c r="IP1" s="2" t="str">
        <f>IF(interventions!$A250&lt;&gt;"",interventions!$A250&amp;"_effect","")</f>
        <v/>
      </c>
      <c r="IQ1" s="2" t="str">
        <f>IF(interventions!$A251&lt;&gt;"",interventions!$A251&amp;"_effect","")</f>
        <v/>
      </c>
      <c r="IR1" s="2" t="str">
        <f>IF(interventions!$A252&lt;&gt;"",interventions!$A252&amp;"_effect","")</f>
        <v/>
      </c>
      <c r="IS1" s="2" t="str">
        <f>IF(interventions!$A253&lt;&gt;"",interventions!$A253&amp;"_effect","")</f>
        <v/>
      </c>
      <c r="IT1" s="2" t="str">
        <f>IF(interventions!$A254&lt;&gt;"",interventions!$A254&amp;"_effect","")</f>
        <v/>
      </c>
      <c r="IU1" s="2" t="str">
        <f>IF(interventions!$A255&lt;&gt;"",interventions!$A255&amp;"_effect","")</f>
        <v/>
      </c>
      <c r="IV1" s="2" t="str">
        <f>IF(interventions!$A256&lt;&gt;"",interventions!$A256&amp;"_effect","")</f>
        <v/>
      </c>
      <c r="IW1" s="2" t="str">
        <f>IF(interventions!$A257&lt;&gt;"",interventions!$A257&amp;"_effect","")</f>
        <v/>
      </c>
      <c r="IX1" s="2" t="str">
        <f>IF(interventions!$A258&lt;&gt;"",interventions!$A258&amp;"_effect","")</f>
        <v/>
      </c>
      <c r="IY1" s="2" t="str">
        <f>IF(interventions!$A259&lt;&gt;"",interventions!$A259&amp;"_effect","")</f>
        <v/>
      </c>
      <c r="IZ1" s="2" t="str">
        <f>IF(interventions!$A260&lt;&gt;"",interventions!$A260&amp;"_effect","")</f>
        <v/>
      </c>
      <c r="JA1" s="2" t="str">
        <f>IF(interventions!$A261&lt;&gt;"",interventions!$A261&amp;"_effect","")</f>
        <v/>
      </c>
      <c r="JB1" s="2" t="str">
        <f>IF(interventions!$A262&lt;&gt;"",interventions!$A262&amp;"_effect","")</f>
        <v/>
      </c>
      <c r="JC1" s="2" t="str">
        <f>IF(interventions!$A263&lt;&gt;"",interventions!$A263&amp;"_effect","")</f>
        <v/>
      </c>
      <c r="JD1" s="2" t="str">
        <f>IF(interventions!$A264&lt;&gt;"",interventions!$A264&amp;"_effect","")</f>
        <v/>
      </c>
      <c r="JE1" s="2" t="str">
        <f>IF(interventions!$A265&lt;&gt;"",interventions!$A265&amp;"_effect","")</f>
        <v/>
      </c>
      <c r="JF1" s="2" t="str">
        <f>IF(interventions!$A266&lt;&gt;"",interventions!$A266&amp;"_effect","")</f>
        <v/>
      </c>
      <c r="JG1" s="2" t="str">
        <f>IF(interventions!$A267&lt;&gt;"",interventions!$A267&amp;"_effect","")</f>
        <v/>
      </c>
      <c r="JH1" s="2" t="str">
        <f>IF(interventions!$A268&lt;&gt;"",interventions!$A268&amp;"_effect","")</f>
        <v/>
      </c>
      <c r="JI1" s="2" t="str">
        <f>IF(interventions!$A269&lt;&gt;"",interventions!$A269&amp;"_effect","")</f>
        <v/>
      </c>
      <c r="JJ1" s="2" t="str">
        <f>IF(interventions!$A270&lt;&gt;"",interventions!$A270&amp;"_effect","")</f>
        <v/>
      </c>
      <c r="JK1" s="2" t="str">
        <f>IF(interventions!$A271&lt;&gt;"",interventions!$A271&amp;"_effect","")</f>
        <v/>
      </c>
      <c r="JL1" s="2" t="str">
        <f>IF(interventions!$A272&lt;&gt;"",interventions!$A272&amp;"_effect","")</f>
        <v/>
      </c>
      <c r="JM1" s="2" t="str">
        <f>IF(interventions!$A273&lt;&gt;"",interventions!$A273&amp;"_effect","")</f>
        <v/>
      </c>
      <c r="JN1" s="2" t="str">
        <f>IF(interventions!$A274&lt;&gt;"",interventions!$A274&amp;"_effect","")</f>
        <v/>
      </c>
      <c r="JO1" s="2" t="str">
        <f>IF(interventions!$A275&lt;&gt;"",interventions!$A275&amp;"_effect","")</f>
        <v/>
      </c>
      <c r="JP1" s="2" t="str">
        <f>IF(interventions!$A276&lt;&gt;"",interventions!$A276&amp;"_effect","")</f>
        <v/>
      </c>
      <c r="JQ1" s="2" t="str">
        <f>IF(interventions!$A277&lt;&gt;"",interventions!$A277&amp;"_effect","")</f>
        <v/>
      </c>
      <c r="JR1" s="2" t="str">
        <f>IF(interventions!$A278&lt;&gt;"",interventions!$A278&amp;"_effect","")</f>
        <v/>
      </c>
      <c r="JS1" s="2" t="str">
        <f>IF(interventions!$A279&lt;&gt;"",interventions!$A279&amp;"_effect","")</f>
        <v/>
      </c>
      <c r="JT1" s="2" t="str">
        <f>IF(interventions!$A280&lt;&gt;"",interventions!$A280&amp;"_effect","")</f>
        <v/>
      </c>
      <c r="JU1" s="2" t="str">
        <f>IF(interventions!$A281&lt;&gt;"",interventions!$A281&amp;"_effect","")</f>
        <v/>
      </c>
      <c r="JV1" s="2" t="str">
        <f>IF(interventions!$A282&lt;&gt;"",interventions!$A282&amp;"_effect","")</f>
        <v/>
      </c>
      <c r="JW1" s="2" t="str">
        <f>IF(interventions!$A283&lt;&gt;"",interventions!$A283&amp;"_effect","")</f>
        <v/>
      </c>
      <c r="JX1" s="2" t="str">
        <f>IF(interventions!$A284&lt;&gt;"",interventions!$A284&amp;"_effect","")</f>
        <v/>
      </c>
      <c r="JY1" s="2" t="str">
        <f>IF(interventions!$A285&lt;&gt;"",interventions!$A285&amp;"_effect","")</f>
        <v/>
      </c>
      <c r="JZ1" s="2" t="str">
        <f>IF(interventions!$A286&lt;&gt;"",interventions!$A286&amp;"_effect","")</f>
        <v/>
      </c>
      <c r="KA1" s="2" t="str">
        <f>IF(interventions!$A287&lt;&gt;"",interventions!$A287&amp;"_effect","")</f>
        <v/>
      </c>
      <c r="KB1" s="2" t="str">
        <f>IF(interventions!$A288&lt;&gt;"",interventions!$A288&amp;"_effect","")</f>
        <v/>
      </c>
      <c r="KC1" s="2" t="str">
        <f>IF(interventions!$A289&lt;&gt;"",interventions!$A289&amp;"_effect","")</f>
        <v/>
      </c>
      <c r="KD1" s="2" t="str">
        <f>IF(interventions!$A290&lt;&gt;"",interventions!$A290&amp;"_effect","")</f>
        <v/>
      </c>
      <c r="KE1" s="2" t="str">
        <f>IF(interventions!$A291&lt;&gt;"",interventions!$A291&amp;"_effect","")</f>
        <v/>
      </c>
      <c r="KF1" s="2" t="str">
        <f>IF(interventions!$A292&lt;&gt;"",interventions!$A292&amp;"_effect","")</f>
        <v/>
      </c>
      <c r="KG1" s="2" t="str">
        <f>IF(interventions!$A293&lt;&gt;"",interventions!$A293&amp;"_effect","")</f>
        <v/>
      </c>
      <c r="KH1" s="2" t="str">
        <f>IF(interventions!$A294&lt;&gt;"",interventions!$A294&amp;"_effect","")</f>
        <v/>
      </c>
      <c r="KI1" s="2" t="str">
        <f>IF(interventions!$A295&lt;&gt;"",interventions!$A295&amp;"_effect","")</f>
        <v/>
      </c>
      <c r="KJ1" s="2" t="str">
        <f>IF(interventions!$A296&lt;&gt;"",interventions!$A296&amp;"_effect","")</f>
        <v/>
      </c>
    </row>
    <row r="2" spans="1:296" x14ac:dyDescent="0.35">
      <c r="A2" s="2" t="str">
        <f>IF(facility!$A2&lt;&gt;"",facility!$A2,"")</f>
        <v>Mt_Darwin</v>
      </c>
      <c r="B2" s="10">
        <v>0.12</v>
      </c>
      <c r="C2" s="10">
        <v>0.08</v>
      </c>
      <c r="D2" s="10">
        <v>0.02</v>
      </c>
      <c r="E2" s="10">
        <v>0.03</v>
      </c>
      <c r="F2" s="14">
        <v>0.01</v>
      </c>
      <c r="G2" s="10">
        <v>0.06</v>
      </c>
      <c r="H2" s="10">
        <v>0.32</v>
      </c>
      <c r="I2" s="10">
        <v>0.5</v>
      </c>
      <c r="J2" s="10">
        <v>1.4999999999999999E-2</v>
      </c>
      <c r="K2" s="10">
        <v>0.03</v>
      </c>
      <c r="L2" s="10">
        <v>0.02</v>
      </c>
      <c r="M2">
        <v>0.01</v>
      </c>
    </row>
    <row r="3" spans="1:296" x14ac:dyDescent="0.35">
      <c r="A3" s="2" t="str">
        <f>IF(facility!$A3&lt;&gt;"",facility!$A3,"")</f>
        <v/>
      </c>
    </row>
    <row r="4" spans="1:296" x14ac:dyDescent="0.35">
      <c r="A4" s="2" t="str">
        <f>IF(facility!$A4&lt;&gt;"",facility!$A4,"")</f>
        <v/>
      </c>
    </row>
    <row r="5" spans="1:296" x14ac:dyDescent="0.35">
      <c r="A5" s="2" t="str">
        <f>IF(facility!$A5&lt;&gt;"",facility!$A5,"")</f>
        <v/>
      </c>
    </row>
    <row r="6" spans="1:296" x14ac:dyDescent="0.35">
      <c r="A6" s="2" t="str">
        <f>IF(facility!$A6&lt;&gt;"",facility!$A6,"")</f>
        <v/>
      </c>
    </row>
    <row r="7" spans="1:296" x14ac:dyDescent="0.35">
      <c r="A7" s="2" t="str">
        <f>IF(facility!$A7&lt;&gt;"",facility!$A7,"")</f>
        <v/>
      </c>
    </row>
    <row r="8" spans="1:296" x14ac:dyDescent="0.35">
      <c r="A8" s="2" t="str">
        <f>IF(facility!$A8&lt;&gt;"",facility!$A8,"")</f>
        <v/>
      </c>
    </row>
    <row r="9" spans="1:296" x14ac:dyDescent="0.35">
      <c r="A9" s="2" t="str">
        <f>IF(facility!$A9&lt;&gt;"",facility!$A9,"")</f>
        <v/>
      </c>
    </row>
    <row r="10" spans="1:296" x14ac:dyDescent="0.35">
      <c r="A10" s="2" t="str">
        <f>IF(facility!$A10&lt;&gt;"",facility!$A10,"")</f>
        <v/>
      </c>
    </row>
    <row r="11" spans="1:296" x14ac:dyDescent="0.35">
      <c r="A11" s="2" t="str">
        <f>IF(facility!$A11&lt;&gt;"",facility!$A11,"")</f>
        <v/>
      </c>
    </row>
    <row r="12" spans="1:296" x14ac:dyDescent="0.35">
      <c r="A12" s="2" t="str">
        <f>IF(facility!$A12&lt;&gt;"",facility!$A12,"")</f>
        <v/>
      </c>
    </row>
    <row r="13" spans="1:296" x14ac:dyDescent="0.35">
      <c r="A13" s="2" t="str">
        <f>IF(facility!$A13&lt;&gt;"",facility!$A13,"")</f>
        <v/>
      </c>
    </row>
    <row r="14" spans="1:296" x14ac:dyDescent="0.35">
      <c r="A14" s="2" t="str">
        <f>IF(facility!$A14&lt;&gt;"",facility!$A14,"")</f>
        <v/>
      </c>
    </row>
    <row r="15" spans="1:296" x14ac:dyDescent="0.35">
      <c r="A15" s="2" t="str">
        <f>IF(facility!$A15&lt;&gt;"",facility!$A15,"")</f>
        <v/>
      </c>
    </row>
    <row r="16" spans="1:296" x14ac:dyDescent="0.35">
      <c r="A16" s="2" t="str">
        <f>IF(facility!$A16&lt;&gt;"",facility!$A16,"")</f>
        <v/>
      </c>
    </row>
    <row r="17" spans="1:1" x14ac:dyDescent="0.35">
      <c r="A17" s="2" t="str">
        <f>IF(facility!$A17&lt;&gt;"",facility!$A17,"")</f>
        <v/>
      </c>
    </row>
    <row r="18" spans="1:1" x14ac:dyDescent="0.35">
      <c r="A18" s="2" t="str">
        <f>IF(facility!$A18&lt;&gt;"",facility!$A18,"")</f>
        <v/>
      </c>
    </row>
    <row r="19" spans="1:1" x14ac:dyDescent="0.35">
      <c r="A19" s="2" t="str">
        <f>IF(facility!$A19&lt;&gt;"",facility!$A19,"")</f>
        <v/>
      </c>
    </row>
    <row r="20" spans="1:1" x14ac:dyDescent="0.35">
      <c r="A20" s="2" t="str">
        <f>IF(facility!$A20&lt;&gt;"",facility!$A20,"")</f>
        <v/>
      </c>
    </row>
    <row r="21" spans="1:1" x14ac:dyDescent="0.35">
      <c r="A21" s="2" t="str">
        <f>IF(facility!$A21&lt;&gt;"",facility!$A21,"")</f>
        <v/>
      </c>
    </row>
    <row r="22" spans="1:1" x14ac:dyDescent="0.35">
      <c r="A22" s="2" t="str">
        <f>IF(facility!$A22&lt;&gt;"",facility!$A22,"")</f>
        <v/>
      </c>
    </row>
    <row r="23" spans="1:1" x14ac:dyDescent="0.35">
      <c r="A23" s="2" t="str">
        <f>IF(facility!$A23&lt;&gt;"",facility!$A23,"")</f>
        <v/>
      </c>
    </row>
    <row r="24" spans="1:1" x14ac:dyDescent="0.35">
      <c r="A24" s="2" t="str">
        <f>IF(facility!$A24&lt;&gt;"",facility!$A24,"")</f>
        <v/>
      </c>
    </row>
    <row r="25" spans="1:1" x14ac:dyDescent="0.35">
      <c r="A25" s="2" t="str">
        <f>IF(facility!$A25&lt;&gt;"",facility!$A25,"")</f>
        <v/>
      </c>
    </row>
    <row r="26" spans="1:1" x14ac:dyDescent="0.35">
      <c r="A26" s="2" t="str">
        <f>IF(facility!$A26&lt;&gt;"",facility!$A26,"")</f>
        <v/>
      </c>
    </row>
    <row r="27" spans="1:1" x14ac:dyDescent="0.35">
      <c r="A27" s="2" t="str">
        <f>IF(facility!$A27&lt;&gt;"",facility!$A27,"")</f>
        <v/>
      </c>
    </row>
    <row r="28" spans="1:1" x14ac:dyDescent="0.35">
      <c r="A28" s="2" t="str">
        <f>IF(facility!$A28&lt;&gt;"",facility!$A28,"")</f>
        <v/>
      </c>
    </row>
    <row r="29" spans="1:1" x14ac:dyDescent="0.35">
      <c r="A29" s="2" t="str">
        <f>IF(facility!$A29&lt;&gt;"",facility!$A29,"")</f>
        <v/>
      </c>
    </row>
    <row r="30" spans="1:1" x14ac:dyDescent="0.35">
      <c r="A30" s="2" t="str">
        <f>IF(facility!$A30&lt;&gt;"",facility!$A30,"")</f>
        <v/>
      </c>
    </row>
    <row r="31" spans="1:1" x14ac:dyDescent="0.35">
      <c r="A31" s="2" t="str">
        <f>IF(facility!$A31&lt;&gt;"",facility!$A31,"")</f>
        <v/>
      </c>
    </row>
    <row r="32" spans="1:1" x14ac:dyDescent="0.35">
      <c r="A32" s="2" t="str">
        <f>IF(facility!$A32&lt;&gt;"",facility!$A32,"")</f>
        <v/>
      </c>
    </row>
    <row r="33" spans="1:1" x14ac:dyDescent="0.35">
      <c r="A33" s="2" t="str">
        <f>IF(facility!$A33&lt;&gt;"",facility!$A33,"")</f>
        <v/>
      </c>
    </row>
    <row r="34" spans="1:1" x14ac:dyDescent="0.35">
      <c r="A34" s="2" t="str">
        <f>IF(facility!$A34&lt;&gt;"",facility!$A34,"")</f>
        <v/>
      </c>
    </row>
    <row r="35" spans="1:1" x14ac:dyDescent="0.35">
      <c r="A35" s="2" t="str">
        <f>IF(facility!$A35&lt;&gt;"",facility!$A35,"")</f>
        <v/>
      </c>
    </row>
    <row r="36" spans="1:1" x14ac:dyDescent="0.35">
      <c r="A36" s="2" t="str">
        <f>IF(facility!$A36&lt;&gt;"",facility!$A36,"")</f>
        <v/>
      </c>
    </row>
    <row r="37" spans="1:1" x14ac:dyDescent="0.35">
      <c r="A37" s="2" t="str">
        <f>IF(facility!$A37&lt;&gt;"",facility!$A37,"")</f>
        <v/>
      </c>
    </row>
    <row r="38" spans="1:1" x14ac:dyDescent="0.35">
      <c r="A38" s="2" t="str">
        <f>IF(facility!$A38&lt;&gt;"",facility!$A38,"")</f>
        <v/>
      </c>
    </row>
    <row r="39" spans="1:1" x14ac:dyDescent="0.35">
      <c r="A39" s="2" t="str">
        <f>IF(facility!$A39&lt;&gt;"",facility!$A39,"")</f>
        <v/>
      </c>
    </row>
    <row r="40" spans="1:1" x14ac:dyDescent="0.35">
      <c r="A40" s="2" t="str">
        <f>IF(facility!$A40&lt;&gt;"",facility!$A40,"")</f>
        <v/>
      </c>
    </row>
    <row r="41" spans="1:1" x14ac:dyDescent="0.35">
      <c r="A41" s="2" t="str">
        <f>IF(facility!$A41&lt;&gt;"",facility!$A41,"")</f>
        <v/>
      </c>
    </row>
    <row r="42" spans="1:1" x14ac:dyDescent="0.35">
      <c r="A42" s="2" t="str">
        <f>IF(facility!$A42&lt;&gt;"",facility!$A42,"")</f>
        <v/>
      </c>
    </row>
    <row r="43" spans="1:1" x14ac:dyDescent="0.35">
      <c r="A43" s="2" t="str">
        <f>IF(facility!$A43&lt;&gt;"",facility!$A43,"")</f>
        <v/>
      </c>
    </row>
    <row r="44" spans="1:1" x14ac:dyDescent="0.35">
      <c r="A44" s="2" t="str">
        <f>IF(facility!$A44&lt;&gt;"",facility!$A44,"")</f>
        <v/>
      </c>
    </row>
    <row r="45" spans="1:1" x14ac:dyDescent="0.35">
      <c r="A45" s="2" t="str">
        <f>IF(facility!$A45&lt;&gt;"",facility!$A45,"")</f>
        <v/>
      </c>
    </row>
    <row r="46" spans="1:1" x14ac:dyDescent="0.35">
      <c r="A46" s="2" t="str">
        <f>IF(facility!$A46&lt;&gt;"",facility!$A46,"")</f>
        <v/>
      </c>
    </row>
    <row r="47" spans="1:1" x14ac:dyDescent="0.35">
      <c r="A47" s="2" t="str">
        <f>IF(facility!$A47&lt;&gt;"",facility!$A47,"")</f>
        <v/>
      </c>
    </row>
    <row r="48" spans="1:1" x14ac:dyDescent="0.35">
      <c r="A48" s="2" t="str">
        <f>IF(facility!$A48&lt;&gt;"",facility!$A48,"")</f>
        <v/>
      </c>
    </row>
    <row r="49" spans="1:1" x14ac:dyDescent="0.35">
      <c r="A49" s="2" t="str">
        <f>IF(facility!$A49&lt;&gt;"",facility!$A49,"")</f>
        <v/>
      </c>
    </row>
    <row r="50" spans="1:1" x14ac:dyDescent="0.35">
      <c r="A50" s="2" t="str">
        <f>IF(facility!$A50&lt;&gt;"",facility!$A50,"")</f>
        <v/>
      </c>
    </row>
    <row r="51" spans="1:1" x14ac:dyDescent="0.35">
      <c r="A51" s="2" t="str">
        <f>IF(facility!$A51&lt;&gt;"",facility!$A51,"")</f>
        <v/>
      </c>
    </row>
    <row r="52" spans="1:1" x14ac:dyDescent="0.35">
      <c r="A52" s="2" t="str">
        <f>IF(facility!$A52&lt;&gt;"",facility!$A52,"")</f>
        <v/>
      </c>
    </row>
    <row r="53" spans="1:1" x14ac:dyDescent="0.35">
      <c r="A53" s="2" t="str">
        <f>IF(facility!$A53&lt;&gt;"",facility!$A53,"")</f>
        <v/>
      </c>
    </row>
    <row r="54" spans="1:1" x14ac:dyDescent="0.35">
      <c r="A54" s="2" t="str">
        <f>IF(facility!$A54&lt;&gt;"",facility!$A54,"")</f>
        <v/>
      </c>
    </row>
    <row r="55" spans="1:1" x14ac:dyDescent="0.35">
      <c r="A55" s="2" t="str">
        <f>IF(facility!$A55&lt;&gt;"",facility!$A55,"")</f>
        <v/>
      </c>
    </row>
    <row r="56" spans="1:1" x14ac:dyDescent="0.35">
      <c r="A56" s="2" t="str">
        <f>IF(facility!$A56&lt;&gt;"",facility!$A56,"")</f>
        <v/>
      </c>
    </row>
    <row r="57" spans="1:1" x14ac:dyDescent="0.35">
      <c r="A57" s="2" t="str">
        <f>IF(facility!$A57&lt;&gt;"",facility!$A57,"")</f>
        <v/>
      </c>
    </row>
    <row r="58" spans="1:1" x14ac:dyDescent="0.35">
      <c r="A58" s="2" t="str">
        <f>IF(facility!$A58&lt;&gt;"",facility!$A58,"")</f>
        <v/>
      </c>
    </row>
    <row r="59" spans="1:1" x14ac:dyDescent="0.35">
      <c r="A59" s="2" t="str">
        <f>IF(facility!$A59&lt;&gt;"",facility!$A59,"")</f>
        <v/>
      </c>
    </row>
    <row r="60" spans="1:1" x14ac:dyDescent="0.35">
      <c r="A60" s="2" t="str">
        <f>IF(facility!$A60&lt;&gt;"",facility!$A60,"")</f>
        <v/>
      </c>
    </row>
    <row r="61" spans="1:1" x14ac:dyDescent="0.35">
      <c r="A61" s="2" t="str">
        <f>IF(facility!$A61&lt;&gt;"",facility!$A61,"")</f>
        <v/>
      </c>
    </row>
    <row r="62" spans="1:1" x14ac:dyDescent="0.35">
      <c r="A62" s="2" t="str">
        <f>IF(facility!$A62&lt;&gt;"",facility!$A62,"")</f>
        <v/>
      </c>
    </row>
    <row r="63" spans="1:1" x14ac:dyDescent="0.35">
      <c r="A63" s="2" t="str">
        <f>IF(facility!$A63&lt;&gt;"",facility!$A63,"")</f>
        <v/>
      </c>
    </row>
    <row r="64" spans="1:1" x14ac:dyDescent="0.35">
      <c r="A64" s="2" t="str">
        <f>IF(facility!$A64&lt;&gt;"",facility!$A64,"")</f>
        <v/>
      </c>
    </row>
    <row r="65" spans="1:1" x14ac:dyDescent="0.35">
      <c r="A65" s="2" t="str">
        <f>IF(facility!$A65&lt;&gt;"",facility!$A65,"")</f>
        <v/>
      </c>
    </row>
    <row r="66" spans="1:1" x14ac:dyDescent="0.35">
      <c r="A66" s="2" t="str">
        <f>IF(facility!$A66&lt;&gt;"",facility!$A66,"")</f>
        <v/>
      </c>
    </row>
    <row r="67" spans="1:1" x14ac:dyDescent="0.35">
      <c r="A67" s="2" t="str">
        <f>IF(facility!$A67&lt;&gt;"",facility!$A67,"")</f>
        <v/>
      </c>
    </row>
    <row r="68" spans="1:1" x14ac:dyDescent="0.35">
      <c r="A68" s="2" t="str">
        <f>IF(facility!$A68&lt;&gt;"",facility!$A68,"")</f>
        <v/>
      </c>
    </row>
    <row r="69" spans="1:1" x14ac:dyDescent="0.35">
      <c r="A69" s="2" t="str">
        <f>IF(facility!$A69&lt;&gt;"",facility!$A69,"")</f>
        <v/>
      </c>
    </row>
    <row r="70" spans="1:1" x14ac:dyDescent="0.35">
      <c r="A70" s="2" t="str">
        <f>IF(facility!$A70&lt;&gt;"",facility!$A70,"")</f>
        <v/>
      </c>
    </row>
    <row r="71" spans="1:1" x14ac:dyDescent="0.35">
      <c r="A71" s="2" t="str">
        <f>IF(facility!$A71&lt;&gt;"",facility!$A71,"")</f>
        <v/>
      </c>
    </row>
    <row r="72" spans="1:1" x14ac:dyDescent="0.35">
      <c r="A72" s="2" t="str">
        <f>IF(facility!$A72&lt;&gt;"",facility!$A72,"")</f>
        <v/>
      </c>
    </row>
    <row r="73" spans="1:1" x14ac:dyDescent="0.35">
      <c r="A73" s="2" t="str">
        <f>IF(facility!$A73&lt;&gt;"",facility!$A73,"")</f>
        <v/>
      </c>
    </row>
    <row r="74" spans="1:1" x14ac:dyDescent="0.35">
      <c r="A74" s="2" t="str">
        <f>IF(facility!$A74&lt;&gt;"",facility!$A74,"")</f>
        <v/>
      </c>
    </row>
    <row r="75" spans="1:1" x14ac:dyDescent="0.35">
      <c r="A75" s="2" t="str">
        <f>IF(facility!$A75&lt;&gt;"",facility!$A75,"")</f>
        <v/>
      </c>
    </row>
    <row r="76" spans="1:1" x14ac:dyDescent="0.35">
      <c r="A76" s="2" t="str">
        <f>IF(facility!$A76&lt;&gt;"",facility!$A76,"")</f>
        <v/>
      </c>
    </row>
    <row r="77" spans="1:1" x14ac:dyDescent="0.35">
      <c r="A77" s="2" t="str">
        <f>IF(facility!$A77&lt;&gt;"",facility!$A77,"")</f>
        <v/>
      </c>
    </row>
    <row r="78" spans="1:1" x14ac:dyDescent="0.35">
      <c r="A78" s="2" t="str">
        <f>IF(facility!$A78&lt;&gt;"",facility!$A78,"")</f>
        <v/>
      </c>
    </row>
    <row r="79" spans="1:1" x14ac:dyDescent="0.35">
      <c r="A79" s="2" t="str">
        <f>IF(facility!$A79&lt;&gt;"",facility!$A79,"")</f>
        <v/>
      </c>
    </row>
    <row r="80" spans="1:1" x14ac:dyDescent="0.35">
      <c r="A80" s="2" t="str">
        <f>IF(facility!$A80&lt;&gt;"",facility!$A80,"")</f>
        <v/>
      </c>
    </row>
    <row r="81" spans="1:1" x14ac:dyDescent="0.35">
      <c r="A81" s="2" t="str">
        <f>IF(facility!$A81&lt;&gt;"",facility!$A81,"")</f>
        <v/>
      </c>
    </row>
    <row r="82" spans="1:1" x14ac:dyDescent="0.35">
      <c r="A82" s="2" t="str">
        <f>IF(facility!$A82&lt;&gt;"",facility!$A82,"")</f>
        <v/>
      </c>
    </row>
    <row r="83" spans="1:1" x14ac:dyDescent="0.35">
      <c r="A83" s="2" t="str">
        <f>IF(facility!$A83&lt;&gt;"",facility!$A83,"")</f>
        <v/>
      </c>
    </row>
    <row r="84" spans="1:1" x14ac:dyDescent="0.35">
      <c r="A84" s="2" t="str">
        <f>IF(facility!$A84&lt;&gt;"",facility!$A84,"")</f>
        <v/>
      </c>
    </row>
    <row r="85" spans="1:1" x14ac:dyDescent="0.35">
      <c r="A85" s="2" t="str">
        <f>IF(facility!$A85&lt;&gt;"",facility!$A85,"")</f>
        <v/>
      </c>
    </row>
    <row r="86" spans="1:1" x14ac:dyDescent="0.35">
      <c r="A86" s="2" t="str">
        <f>IF(facility!$A86&lt;&gt;"",facility!$A86,"")</f>
        <v/>
      </c>
    </row>
    <row r="87" spans="1:1" x14ac:dyDescent="0.35">
      <c r="A87" s="2" t="str">
        <f>IF(facility!$A87&lt;&gt;"",facility!$A87,"")</f>
        <v/>
      </c>
    </row>
    <row r="88" spans="1:1" x14ac:dyDescent="0.35">
      <c r="A88" s="2" t="str">
        <f>IF(facility!$A88&lt;&gt;"",facility!$A88,"")</f>
        <v/>
      </c>
    </row>
    <row r="89" spans="1:1" x14ac:dyDescent="0.35">
      <c r="A89" s="2" t="str">
        <f>IF(facility!$A89&lt;&gt;"",facility!$A89,"")</f>
        <v/>
      </c>
    </row>
    <row r="90" spans="1:1" x14ac:dyDescent="0.35">
      <c r="A90" s="2" t="str">
        <f>IF(facility!$A90&lt;&gt;"",facility!$A90,"")</f>
        <v/>
      </c>
    </row>
    <row r="91" spans="1:1" x14ac:dyDescent="0.35">
      <c r="A91" s="2" t="str">
        <f>IF(facility!$A91&lt;&gt;"",facility!$A91,"")</f>
        <v/>
      </c>
    </row>
    <row r="92" spans="1:1" x14ac:dyDescent="0.35">
      <c r="A92" s="2" t="str">
        <f>IF(facility!$A92&lt;&gt;"",facility!$A92,"")</f>
        <v/>
      </c>
    </row>
    <row r="93" spans="1:1" x14ac:dyDescent="0.35">
      <c r="A93" s="2" t="str">
        <f>IF(facility!$A93&lt;&gt;"",facility!$A93,"")</f>
        <v/>
      </c>
    </row>
    <row r="94" spans="1:1" x14ac:dyDescent="0.35">
      <c r="A94" s="2" t="str">
        <f>IF(facility!$A94&lt;&gt;"",facility!$A94,"")</f>
        <v/>
      </c>
    </row>
    <row r="95" spans="1:1" x14ac:dyDescent="0.35">
      <c r="A95" s="2" t="str">
        <f>IF(facility!$A95&lt;&gt;"",facility!$A95,"")</f>
        <v/>
      </c>
    </row>
    <row r="96" spans="1:1" x14ac:dyDescent="0.35">
      <c r="A96" s="2" t="str">
        <f>IF(facility!$A96&lt;&gt;"",facility!$A96,"")</f>
        <v/>
      </c>
    </row>
    <row r="97" spans="1:1" x14ac:dyDescent="0.35">
      <c r="A97" s="2" t="str">
        <f>IF(facility!$A97&lt;&gt;"",facility!$A97,"")</f>
        <v/>
      </c>
    </row>
    <row r="98" spans="1:1" x14ac:dyDescent="0.35">
      <c r="A98" s="2" t="str">
        <f>IF(facility!$A98&lt;&gt;"",facility!$A98,"")</f>
        <v/>
      </c>
    </row>
    <row r="99" spans="1:1" x14ac:dyDescent="0.35">
      <c r="A99" s="2" t="str">
        <f>IF(facility!$A99&lt;&gt;"",facility!$A99,"")</f>
        <v/>
      </c>
    </row>
    <row r="100" spans="1:1" x14ac:dyDescent="0.35">
      <c r="A100" s="2" t="str">
        <f>IF(facility!$A100&lt;&gt;"",facility!$A100,"")</f>
        <v/>
      </c>
    </row>
    <row r="101" spans="1:1" x14ac:dyDescent="0.35">
      <c r="A101" s="2" t="str">
        <f>IF(facility!$A101&lt;&gt;"",facility!$A101,"")</f>
        <v/>
      </c>
    </row>
    <row r="102" spans="1:1" x14ac:dyDescent="0.35">
      <c r="A102" s="2" t="str">
        <f>IF(facility!$A102&lt;&gt;"",facility!$A102,"")</f>
        <v/>
      </c>
    </row>
    <row r="103" spans="1:1" x14ac:dyDescent="0.35">
      <c r="A103" s="2" t="str">
        <f>IF(facility!$A103&lt;&gt;"",facility!$A103,"")</f>
        <v/>
      </c>
    </row>
    <row r="104" spans="1:1" x14ac:dyDescent="0.35">
      <c r="A104" s="2" t="str">
        <f>IF(facility!$A104&lt;&gt;"",facility!$A104,"")</f>
        <v/>
      </c>
    </row>
    <row r="105" spans="1:1" x14ac:dyDescent="0.35">
      <c r="A105" s="2" t="str">
        <f>IF(facility!$A105&lt;&gt;"",facility!$A105,"")</f>
        <v/>
      </c>
    </row>
    <row r="106" spans="1:1" x14ac:dyDescent="0.35">
      <c r="A106" s="2" t="str">
        <f>IF(facility!$A106&lt;&gt;"",facility!$A106,"")</f>
        <v/>
      </c>
    </row>
    <row r="107" spans="1:1" x14ac:dyDescent="0.35">
      <c r="A107" s="2" t="str">
        <f>IF(facility!$A107&lt;&gt;"",facility!$A107,"")</f>
        <v/>
      </c>
    </row>
    <row r="108" spans="1:1" x14ac:dyDescent="0.35">
      <c r="A108" s="2" t="str">
        <f>IF(facility!$A108&lt;&gt;"",facility!$A108,"")</f>
        <v/>
      </c>
    </row>
    <row r="109" spans="1:1" x14ac:dyDescent="0.35">
      <c r="A109" s="2" t="str">
        <f>IF(facility!$A109&lt;&gt;"",facility!$A109,"")</f>
        <v/>
      </c>
    </row>
    <row r="110" spans="1:1" x14ac:dyDescent="0.35">
      <c r="A110" s="2" t="str">
        <f>IF(facility!$A110&lt;&gt;"",facility!$A110,"")</f>
        <v/>
      </c>
    </row>
    <row r="111" spans="1:1" x14ac:dyDescent="0.35">
      <c r="A111" s="2" t="str">
        <f>IF(facility!$A111&lt;&gt;"",facility!$A111,"")</f>
        <v/>
      </c>
    </row>
    <row r="112" spans="1:1" x14ac:dyDescent="0.35">
      <c r="A112" s="2" t="str">
        <f>IF(facility!$A112&lt;&gt;"",facility!$A112,"")</f>
        <v/>
      </c>
    </row>
    <row r="113" spans="1:1" x14ac:dyDescent="0.35">
      <c r="A113" s="2" t="str">
        <f>IF(facility!$A113&lt;&gt;"",facility!$A113,"")</f>
        <v/>
      </c>
    </row>
    <row r="114" spans="1:1" x14ac:dyDescent="0.35">
      <c r="A114" s="2" t="str">
        <f>IF(facility!$A114&lt;&gt;"",facility!$A114,"")</f>
        <v/>
      </c>
    </row>
    <row r="115" spans="1:1" x14ac:dyDescent="0.35">
      <c r="A115" s="2" t="str">
        <f>IF(facility!$A115&lt;&gt;"",facility!$A115,"")</f>
        <v/>
      </c>
    </row>
    <row r="116" spans="1:1" x14ac:dyDescent="0.35">
      <c r="A116" s="2" t="str">
        <f>IF(facility!$A116&lt;&gt;"",facility!$A116,"")</f>
        <v/>
      </c>
    </row>
    <row r="117" spans="1:1" x14ac:dyDescent="0.35">
      <c r="A117" s="2" t="str">
        <f>IF(facility!$A117&lt;&gt;"",facility!$A117,"")</f>
        <v/>
      </c>
    </row>
    <row r="118" spans="1:1" x14ac:dyDescent="0.35">
      <c r="A118" s="2" t="str">
        <f>IF(facility!$A118&lt;&gt;"",facility!$A118,"")</f>
        <v/>
      </c>
    </row>
    <row r="119" spans="1:1" x14ac:dyDescent="0.35">
      <c r="A119" s="2" t="str">
        <f>IF(facility!$A119&lt;&gt;"",facility!$A119,"")</f>
        <v/>
      </c>
    </row>
    <row r="120" spans="1:1" x14ac:dyDescent="0.35">
      <c r="A120" s="2" t="str">
        <f>IF(facility!$A120&lt;&gt;"",facility!$A120,"")</f>
        <v/>
      </c>
    </row>
    <row r="121" spans="1:1" x14ac:dyDescent="0.35">
      <c r="A121" s="2" t="str">
        <f>IF(facility!$A121&lt;&gt;"",facility!$A121,"")</f>
        <v/>
      </c>
    </row>
    <row r="122" spans="1:1" x14ac:dyDescent="0.35">
      <c r="A122" s="2" t="str">
        <f>IF(facility!$A122&lt;&gt;"",facility!$A122,"")</f>
        <v/>
      </c>
    </row>
    <row r="123" spans="1:1" x14ac:dyDescent="0.35">
      <c r="A123" s="2" t="str">
        <f>IF(facility!$A123&lt;&gt;"",facility!$A123,"")</f>
        <v/>
      </c>
    </row>
    <row r="124" spans="1:1" x14ac:dyDescent="0.35">
      <c r="A124" s="2" t="str">
        <f>IF(facility!$A124&lt;&gt;"",facility!$A124,"")</f>
        <v/>
      </c>
    </row>
    <row r="125" spans="1:1" x14ac:dyDescent="0.35">
      <c r="A125" s="2" t="str">
        <f>IF(facility!$A125&lt;&gt;"",facility!$A125,"")</f>
        <v/>
      </c>
    </row>
    <row r="126" spans="1:1" x14ac:dyDescent="0.35">
      <c r="A126" s="2" t="str">
        <f>IF(facility!$A126&lt;&gt;"",facility!$A126,"")</f>
        <v/>
      </c>
    </row>
    <row r="127" spans="1:1" x14ac:dyDescent="0.35">
      <c r="A127" s="2" t="str">
        <f>IF(facility!$A127&lt;&gt;"",facility!$A127,"")</f>
        <v/>
      </c>
    </row>
    <row r="128" spans="1:1" x14ac:dyDescent="0.35">
      <c r="A128" s="2" t="str">
        <f>IF(facility!$A128&lt;&gt;"",facility!$A128,"")</f>
        <v/>
      </c>
    </row>
    <row r="129" spans="1:1" x14ac:dyDescent="0.35">
      <c r="A129" s="2" t="str">
        <f>IF(facility!$A129&lt;&gt;"",facility!$A129,"")</f>
        <v/>
      </c>
    </row>
    <row r="130" spans="1:1" x14ac:dyDescent="0.35">
      <c r="A130" s="2" t="str">
        <f>IF(facility!$A130&lt;&gt;"",facility!$A130,"")</f>
        <v/>
      </c>
    </row>
    <row r="131" spans="1:1" x14ac:dyDescent="0.35">
      <c r="A131" s="2" t="str">
        <f>IF(facility!$A131&lt;&gt;"",facility!$A131,"")</f>
        <v/>
      </c>
    </row>
    <row r="132" spans="1:1" x14ac:dyDescent="0.35">
      <c r="A132" s="2" t="str">
        <f>IF(facility!$A132&lt;&gt;"",facility!$A132,"")</f>
        <v/>
      </c>
    </row>
    <row r="133" spans="1:1" x14ac:dyDescent="0.35">
      <c r="A133" s="2" t="str">
        <f>IF(facility!$A133&lt;&gt;"",facility!$A133,"")</f>
        <v/>
      </c>
    </row>
    <row r="134" spans="1:1" x14ac:dyDescent="0.35">
      <c r="A134" s="2" t="str">
        <f>IF(facility!$A134&lt;&gt;"",facility!$A134,"")</f>
        <v/>
      </c>
    </row>
    <row r="135" spans="1:1" x14ac:dyDescent="0.35">
      <c r="A135" s="2" t="str">
        <f>IF(facility!$A135&lt;&gt;"",facility!$A135,"")</f>
        <v/>
      </c>
    </row>
    <row r="136" spans="1:1" x14ac:dyDescent="0.35">
      <c r="A136" s="2" t="str">
        <f>IF(facility!$A136&lt;&gt;"",facility!$A136,"")</f>
        <v/>
      </c>
    </row>
    <row r="137" spans="1:1" x14ac:dyDescent="0.35">
      <c r="A137" s="2" t="str">
        <f>IF(facility!$A137&lt;&gt;"",facility!$A137,"")</f>
        <v/>
      </c>
    </row>
    <row r="138" spans="1:1" x14ac:dyDescent="0.35">
      <c r="A138" s="2" t="str">
        <f>IF(facility!$A138&lt;&gt;"",facility!$A138,"")</f>
        <v/>
      </c>
    </row>
    <row r="139" spans="1:1" x14ac:dyDescent="0.35">
      <c r="A139" s="2" t="str">
        <f>IF(facility!$A139&lt;&gt;"",facility!$A139,"")</f>
        <v/>
      </c>
    </row>
    <row r="140" spans="1:1" x14ac:dyDescent="0.35">
      <c r="A140" s="2" t="str">
        <f>IF(facility!$A140&lt;&gt;"",facility!$A140,"")</f>
        <v/>
      </c>
    </row>
    <row r="141" spans="1:1" x14ac:dyDescent="0.35">
      <c r="A141" s="2" t="str">
        <f>IF(facility!$A141&lt;&gt;"",facility!$A141,"")</f>
        <v/>
      </c>
    </row>
    <row r="142" spans="1:1" x14ac:dyDescent="0.35">
      <c r="A142" s="2" t="str">
        <f>IF(facility!$A142&lt;&gt;"",facility!$A142,"")</f>
        <v/>
      </c>
    </row>
    <row r="143" spans="1:1" x14ac:dyDescent="0.35">
      <c r="A143" s="2" t="str">
        <f>IF(facility!$A143&lt;&gt;"",facility!$A143,"")</f>
        <v/>
      </c>
    </row>
    <row r="144" spans="1:1" x14ac:dyDescent="0.35">
      <c r="A144" s="2" t="str">
        <f>IF(facility!$A144&lt;&gt;"",facility!$A144,"")</f>
        <v/>
      </c>
    </row>
    <row r="145" spans="1:1" x14ac:dyDescent="0.35">
      <c r="A145" s="2" t="str">
        <f>IF(facility!$A145&lt;&gt;"",facility!$A145,"")</f>
        <v/>
      </c>
    </row>
    <row r="146" spans="1:1" x14ac:dyDescent="0.35">
      <c r="A146" s="2" t="str">
        <f>IF(facility!$A146&lt;&gt;"",facility!$A146,"")</f>
        <v/>
      </c>
    </row>
    <row r="147" spans="1:1" x14ac:dyDescent="0.35">
      <c r="A147" s="2" t="str">
        <f>IF(facility!$A147&lt;&gt;"",facility!$A147,"")</f>
        <v/>
      </c>
    </row>
    <row r="148" spans="1:1" x14ac:dyDescent="0.35">
      <c r="A148" s="2" t="str">
        <f>IF(facility!$A148&lt;&gt;"",facility!$A148,"")</f>
        <v/>
      </c>
    </row>
    <row r="149" spans="1:1" x14ac:dyDescent="0.35">
      <c r="A149" s="2" t="str">
        <f>IF(facility!$A149&lt;&gt;"",facility!$A149,"")</f>
        <v/>
      </c>
    </row>
    <row r="150" spans="1:1" x14ac:dyDescent="0.35">
      <c r="A150" s="2" t="str">
        <f>IF(facility!$A150&lt;&gt;"",facility!$A150,"")</f>
        <v/>
      </c>
    </row>
    <row r="151" spans="1:1" x14ac:dyDescent="0.35">
      <c r="A151" s="2" t="str">
        <f>IF(facility!$A151&lt;&gt;"",facility!$A151,"")</f>
        <v/>
      </c>
    </row>
    <row r="152" spans="1:1" x14ac:dyDescent="0.35">
      <c r="A152" s="2" t="str">
        <f>IF(facility!$A152&lt;&gt;"",facility!$A152,"")</f>
        <v/>
      </c>
    </row>
    <row r="153" spans="1:1" x14ac:dyDescent="0.35">
      <c r="A153" s="2" t="str">
        <f>IF(facility!$A153&lt;&gt;"",facility!$A153,"")</f>
        <v/>
      </c>
    </row>
    <row r="154" spans="1:1" x14ac:dyDescent="0.35">
      <c r="A154" s="2" t="str">
        <f>IF(facility!$A154&lt;&gt;"",facility!$A154,"")</f>
        <v/>
      </c>
    </row>
    <row r="155" spans="1:1" x14ac:dyDescent="0.35">
      <c r="A155" s="2" t="str">
        <f>IF(facility!$A155&lt;&gt;"",facility!$A155,"")</f>
        <v/>
      </c>
    </row>
    <row r="156" spans="1:1" x14ac:dyDescent="0.35">
      <c r="A156" s="2" t="str">
        <f>IF(facility!$A156&lt;&gt;"",facility!$A156,"")</f>
        <v/>
      </c>
    </row>
    <row r="157" spans="1:1" x14ac:dyDescent="0.35">
      <c r="A157" s="2" t="str">
        <f>IF(facility!$A157&lt;&gt;"",facility!$A157,"")</f>
        <v/>
      </c>
    </row>
    <row r="158" spans="1:1" x14ac:dyDescent="0.35">
      <c r="A158" s="2" t="str">
        <f>IF(facility!$A158&lt;&gt;"",facility!$A158,"")</f>
        <v/>
      </c>
    </row>
    <row r="159" spans="1:1" x14ac:dyDescent="0.35">
      <c r="A159" s="2" t="str">
        <f>IF(facility!$A159&lt;&gt;"",facility!$A159,"")</f>
        <v/>
      </c>
    </row>
    <row r="160" spans="1:1" x14ac:dyDescent="0.35">
      <c r="A160" s="2" t="str">
        <f>IF(facility!$A160&lt;&gt;"",facility!$A160,"")</f>
        <v/>
      </c>
    </row>
    <row r="161" spans="1:1" x14ac:dyDescent="0.35">
      <c r="A161" s="2" t="str">
        <f>IF(facility!$A161&lt;&gt;"",facility!$A161,"")</f>
        <v/>
      </c>
    </row>
    <row r="162" spans="1:1" x14ac:dyDescent="0.35">
      <c r="A162" s="2" t="str">
        <f>IF(facility!$A162&lt;&gt;"",facility!$A162,"")</f>
        <v/>
      </c>
    </row>
    <row r="163" spans="1:1" x14ac:dyDescent="0.35">
      <c r="A163" s="2" t="str">
        <f>IF(facility!$A163&lt;&gt;"",facility!$A163,"")</f>
        <v/>
      </c>
    </row>
    <row r="164" spans="1:1" x14ac:dyDescent="0.35">
      <c r="A164" s="2" t="str">
        <f>IF(facility!$A164&lt;&gt;"",facility!$A164,"")</f>
        <v/>
      </c>
    </row>
    <row r="165" spans="1:1" x14ac:dyDescent="0.35">
      <c r="A165" s="2" t="str">
        <f>IF(facility!$A165&lt;&gt;"",facility!$A165,"")</f>
        <v/>
      </c>
    </row>
    <row r="166" spans="1:1" x14ac:dyDescent="0.35">
      <c r="A166" s="2" t="str">
        <f>IF(facility!$A166&lt;&gt;"",facility!$A166,"")</f>
        <v/>
      </c>
    </row>
    <row r="167" spans="1:1" x14ac:dyDescent="0.35">
      <c r="A167" s="2" t="str">
        <f>IF(facility!$A167&lt;&gt;"",facility!$A167,"")</f>
        <v/>
      </c>
    </row>
    <row r="168" spans="1:1" x14ac:dyDescent="0.35">
      <c r="A168" s="2" t="str">
        <f>IF(facility!$A168&lt;&gt;"",facility!$A168,"")</f>
        <v/>
      </c>
    </row>
    <row r="169" spans="1:1" x14ac:dyDescent="0.35">
      <c r="A169" s="2" t="str">
        <f>IF(facility!$A169&lt;&gt;"",facility!$A169,"")</f>
        <v/>
      </c>
    </row>
    <row r="170" spans="1:1" x14ac:dyDescent="0.35">
      <c r="A170" s="2" t="str">
        <f>IF(facility!$A170&lt;&gt;"",facility!$A170,"")</f>
        <v/>
      </c>
    </row>
    <row r="171" spans="1:1" x14ac:dyDescent="0.35">
      <c r="A171" s="2" t="str">
        <f>IF(facility!$A171&lt;&gt;"",facility!$A171,"")</f>
        <v/>
      </c>
    </row>
    <row r="172" spans="1:1" x14ac:dyDescent="0.35">
      <c r="A172" s="2" t="str">
        <f>IF(facility!$A172&lt;&gt;"",facility!$A172,"")</f>
        <v/>
      </c>
    </row>
    <row r="173" spans="1:1" x14ac:dyDescent="0.35">
      <c r="A173" s="2" t="str">
        <f>IF(facility!$A173&lt;&gt;"",facility!$A173,"")</f>
        <v/>
      </c>
    </row>
    <row r="174" spans="1:1" x14ac:dyDescent="0.35">
      <c r="A174" s="2" t="str">
        <f>IF(facility!$A174&lt;&gt;"",facility!$A174,"")</f>
        <v/>
      </c>
    </row>
    <row r="175" spans="1:1" x14ac:dyDescent="0.35">
      <c r="A175" s="2" t="str">
        <f>IF(facility!$A175&lt;&gt;"",facility!$A175,"")</f>
        <v/>
      </c>
    </row>
    <row r="176" spans="1:1" x14ac:dyDescent="0.35">
      <c r="A176" s="2" t="str">
        <f>IF(facility!$A176&lt;&gt;"",facility!$A176,"")</f>
        <v/>
      </c>
    </row>
    <row r="177" spans="1:1" x14ac:dyDescent="0.35">
      <c r="A177" s="2" t="str">
        <f>IF(facility!$A177&lt;&gt;"",facility!$A177,"")</f>
        <v/>
      </c>
    </row>
    <row r="178" spans="1:1" x14ac:dyDescent="0.35">
      <c r="A178" s="2" t="str">
        <f>IF(facility!$A178&lt;&gt;"",facility!$A178,"")</f>
        <v/>
      </c>
    </row>
    <row r="179" spans="1:1" x14ac:dyDescent="0.35">
      <c r="A179" s="2" t="str">
        <f>IF(facility!$A179&lt;&gt;"",facility!$A179,"")</f>
        <v/>
      </c>
    </row>
    <row r="180" spans="1:1" x14ac:dyDescent="0.35">
      <c r="A180" s="2" t="str">
        <f>IF(facility!$A180&lt;&gt;"",facility!$A180,"")</f>
        <v/>
      </c>
    </row>
    <row r="181" spans="1:1" x14ac:dyDescent="0.35">
      <c r="A181" s="2" t="str">
        <f>IF(facility!$A181&lt;&gt;"",facility!$A181,"")</f>
        <v/>
      </c>
    </row>
    <row r="182" spans="1:1" x14ac:dyDescent="0.35">
      <c r="A182" s="2" t="str">
        <f>IF(facility!$A182&lt;&gt;"",facility!$A182,"")</f>
        <v/>
      </c>
    </row>
    <row r="183" spans="1:1" x14ac:dyDescent="0.35">
      <c r="A183" s="2" t="str">
        <f>IF(facility!$A183&lt;&gt;"",facility!$A183,"")</f>
        <v/>
      </c>
    </row>
    <row r="184" spans="1:1" x14ac:dyDescent="0.35">
      <c r="A184" s="2" t="str">
        <f>IF(facility!$A184&lt;&gt;"",facility!$A184,"")</f>
        <v/>
      </c>
    </row>
    <row r="185" spans="1:1" x14ac:dyDescent="0.35">
      <c r="A185" s="2" t="str">
        <f>IF(facility!$A185&lt;&gt;"",facility!$A185,"")</f>
        <v/>
      </c>
    </row>
    <row r="186" spans="1:1" x14ac:dyDescent="0.35">
      <c r="A186" s="2" t="str">
        <f>IF(facility!$A186&lt;&gt;"",facility!$A186,"")</f>
        <v/>
      </c>
    </row>
    <row r="187" spans="1:1" x14ac:dyDescent="0.35">
      <c r="A187" s="2" t="str">
        <f>IF(facility!$A187&lt;&gt;"",facility!$A187,"")</f>
        <v/>
      </c>
    </row>
    <row r="188" spans="1:1" x14ac:dyDescent="0.35">
      <c r="A188" s="2" t="str">
        <f>IF(facility!$A188&lt;&gt;"",facility!$A188,"")</f>
        <v/>
      </c>
    </row>
    <row r="189" spans="1:1" x14ac:dyDescent="0.35">
      <c r="A189" s="2" t="str">
        <f>IF(facility!$A189&lt;&gt;"",facility!$A189,"")</f>
        <v/>
      </c>
    </row>
    <row r="190" spans="1:1" x14ac:dyDescent="0.35">
      <c r="A190" s="2" t="str">
        <f>IF(facility!$A190&lt;&gt;"",facility!$A190,"")</f>
        <v/>
      </c>
    </row>
    <row r="191" spans="1:1" x14ac:dyDescent="0.35">
      <c r="A191" s="2" t="str">
        <f>IF(facility!$A191&lt;&gt;"",facility!$A191,"")</f>
        <v/>
      </c>
    </row>
    <row r="192" spans="1:1" x14ac:dyDescent="0.35">
      <c r="A192" s="2" t="str">
        <f>IF(facility!$A192&lt;&gt;"",facility!$A192,"")</f>
        <v/>
      </c>
    </row>
    <row r="193" spans="1:1" x14ac:dyDescent="0.35">
      <c r="A193" s="2" t="str">
        <f>IF(facility!$A193&lt;&gt;"",facility!$A193,"")</f>
        <v/>
      </c>
    </row>
    <row r="194" spans="1:1" x14ac:dyDescent="0.35">
      <c r="A194" s="2" t="str">
        <f>IF(facility!$A194&lt;&gt;"",facility!$A194,"")</f>
        <v/>
      </c>
    </row>
    <row r="195" spans="1:1" x14ac:dyDescent="0.35">
      <c r="A195" s="2" t="str">
        <f>IF(facility!$A195&lt;&gt;"",facility!$A195,"")</f>
        <v/>
      </c>
    </row>
    <row r="196" spans="1:1" x14ac:dyDescent="0.35">
      <c r="A196" s="2" t="str">
        <f>IF(facility!$A196&lt;&gt;"",facility!$A196,"")</f>
        <v/>
      </c>
    </row>
    <row r="197" spans="1:1" x14ac:dyDescent="0.35">
      <c r="A197" s="2" t="str">
        <f>IF(facility!$A197&lt;&gt;"",facility!$A197,"")</f>
        <v/>
      </c>
    </row>
    <row r="198" spans="1:1" x14ac:dyDescent="0.35">
      <c r="A198" s="2" t="str">
        <f>IF(facility!$A198&lt;&gt;"",facility!$A198,"")</f>
        <v/>
      </c>
    </row>
    <row r="199" spans="1:1" x14ac:dyDescent="0.35">
      <c r="A199" s="2" t="str">
        <f>IF(facility!$A199&lt;&gt;"",facility!$A199,"")</f>
        <v/>
      </c>
    </row>
    <row r="200" spans="1:1" x14ac:dyDescent="0.35">
      <c r="A200" s="2" t="str">
        <f>IF(facility!$A200&lt;&gt;"",facility!$A200,"")</f>
        <v/>
      </c>
    </row>
    <row r="201" spans="1:1" x14ac:dyDescent="0.35">
      <c r="A201" s="2" t="str">
        <f>IF(facility!$A201&lt;&gt;"",facility!$A201,"")</f>
        <v/>
      </c>
    </row>
    <row r="202" spans="1:1" x14ac:dyDescent="0.35">
      <c r="A202" s="2" t="str">
        <f>IF(facility!$A202&lt;&gt;"",facility!$A202,"")</f>
        <v/>
      </c>
    </row>
    <row r="203" spans="1:1" x14ac:dyDescent="0.35">
      <c r="A203" s="2" t="str">
        <f>IF(facility!$A203&lt;&gt;"",facility!$A203,"")</f>
        <v/>
      </c>
    </row>
    <row r="204" spans="1:1" x14ac:dyDescent="0.35">
      <c r="A204" s="2" t="str">
        <f>IF(facility!$A204&lt;&gt;"",facility!$A204,"")</f>
        <v/>
      </c>
    </row>
    <row r="205" spans="1:1" x14ac:dyDescent="0.35">
      <c r="A205" s="2" t="str">
        <f>IF(facility!$A205&lt;&gt;"",facility!$A205,"")</f>
        <v/>
      </c>
    </row>
    <row r="206" spans="1:1" x14ac:dyDescent="0.35">
      <c r="A206" s="2" t="str">
        <f>IF(facility!$A206&lt;&gt;"",facility!$A206,"")</f>
        <v/>
      </c>
    </row>
    <row r="207" spans="1:1" x14ac:dyDescent="0.35">
      <c r="A207" s="2" t="str">
        <f>IF(facility!$A207&lt;&gt;"",facility!$A207,"")</f>
        <v/>
      </c>
    </row>
    <row r="208" spans="1:1" x14ac:dyDescent="0.35">
      <c r="A208" s="2" t="str">
        <f>IF(facility!$A208&lt;&gt;"",facility!$A208,"")</f>
        <v/>
      </c>
    </row>
    <row r="209" spans="1:1" x14ac:dyDescent="0.35">
      <c r="A209" s="2" t="str">
        <f>IF(facility!$A209&lt;&gt;"",facility!$A209,"")</f>
        <v/>
      </c>
    </row>
    <row r="210" spans="1:1" x14ac:dyDescent="0.35">
      <c r="A210" s="2" t="str">
        <f>IF(facility!$A210&lt;&gt;"",facility!$A210,"")</f>
        <v/>
      </c>
    </row>
    <row r="211" spans="1:1" x14ac:dyDescent="0.35">
      <c r="A211" s="2" t="str">
        <f>IF(facility!$A211&lt;&gt;"",facility!$A211,"")</f>
        <v/>
      </c>
    </row>
    <row r="212" spans="1:1" x14ac:dyDescent="0.35">
      <c r="A212" s="2" t="str">
        <f>IF(facility!$A212&lt;&gt;"",facility!$A212,"")</f>
        <v/>
      </c>
    </row>
    <row r="213" spans="1:1" x14ac:dyDescent="0.35">
      <c r="A213" s="2" t="str">
        <f>IF(facility!$A213&lt;&gt;"",facility!$A213,"")</f>
        <v/>
      </c>
    </row>
    <row r="214" spans="1:1" x14ac:dyDescent="0.35">
      <c r="A214" s="2" t="str">
        <f>IF(facility!$A214&lt;&gt;"",facility!$A214,"")</f>
        <v/>
      </c>
    </row>
    <row r="215" spans="1:1" x14ac:dyDescent="0.35">
      <c r="A215" s="2" t="str">
        <f>IF(facility!$A215&lt;&gt;"",facility!$A215,"")</f>
        <v/>
      </c>
    </row>
    <row r="216" spans="1:1" x14ac:dyDescent="0.35">
      <c r="A216" s="2" t="str">
        <f>IF(facility!$A216&lt;&gt;"",facility!$A216,"")</f>
        <v/>
      </c>
    </row>
    <row r="217" spans="1:1" x14ac:dyDescent="0.35">
      <c r="A217" s="2" t="str">
        <f>IF(facility!$A217&lt;&gt;"",facility!$A217,"")</f>
        <v/>
      </c>
    </row>
    <row r="218" spans="1:1" x14ac:dyDescent="0.35">
      <c r="A218" s="2" t="str">
        <f>IF(facility!$A218&lt;&gt;"",facility!$A218,"")</f>
        <v/>
      </c>
    </row>
    <row r="219" spans="1:1" x14ac:dyDescent="0.35">
      <c r="A219" s="2" t="str">
        <f>IF(facility!$A219&lt;&gt;"",facility!$A219,"")</f>
        <v/>
      </c>
    </row>
    <row r="220" spans="1:1" x14ac:dyDescent="0.35">
      <c r="A220" s="2" t="str">
        <f>IF(facility!$A220&lt;&gt;"",facility!$A220,"")</f>
        <v/>
      </c>
    </row>
    <row r="221" spans="1:1" x14ac:dyDescent="0.35">
      <c r="A221" s="2" t="str">
        <f>IF(facility!$A221&lt;&gt;"",facility!$A221,"")</f>
        <v/>
      </c>
    </row>
    <row r="222" spans="1:1" x14ac:dyDescent="0.35">
      <c r="A222" s="2" t="str">
        <f>IF(facility!$A222&lt;&gt;"",facility!$A222,"")</f>
        <v/>
      </c>
    </row>
    <row r="223" spans="1:1" x14ac:dyDescent="0.35">
      <c r="A223" s="2" t="str">
        <f>IF(facility!$A223&lt;&gt;"",facility!$A223,"")</f>
        <v/>
      </c>
    </row>
    <row r="224" spans="1:1" x14ac:dyDescent="0.35">
      <c r="A224" s="2" t="str">
        <f>IF(facility!$A224&lt;&gt;"",facility!$A224,"")</f>
        <v/>
      </c>
    </row>
    <row r="225" spans="1:1" x14ac:dyDescent="0.35">
      <c r="A225" s="2" t="str">
        <f>IF(facility!$A225&lt;&gt;"",facility!$A225,"")</f>
        <v/>
      </c>
    </row>
    <row r="226" spans="1:1" x14ac:dyDescent="0.35">
      <c r="A226" s="2" t="str">
        <f>IF(facility!$A226&lt;&gt;"",facility!$A226,"")</f>
        <v/>
      </c>
    </row>
    <row r="227" spans="1:1" x14ac:dyDescent="0.35">
      <c r="A227" s="2" t="str">
        <f>IF(facility!$A227&lt;&gt;"",facility!$A227,"")</f>
        <v/>
      </c>
    </row>
    <row r="228" spans="1:1" x14ac:dyDescent="0.35">
      <c r="A228" s="2" t="str">
        <f>IF(facility!$A228&lt;&gt;"",facility!$A228,"")</f>
        <v/>
      </c>
    </row>
    <row r="229" spans="1:1" x14ac:dyDescent="0.35">
      <c r="A229" s="2" t="str">
        <f>IF(facility!$A229&lt;&gt;"",facility!$A229,"")</f>
        <v/>
      </c>
    </row>
    <row r="230" spans="1:1" x14ac:dyDescent="0.35">
      <c r="A230" s="2" t="str">
        <f>IF(facility!$A230&lt;&gt;"",facility!$A230,"")</f>
        <v/>
      </c>
    </row>
    <row r="231" spans="1:1" x14ac:dyDescent="0.35">
      <c r="A231" s="2" t="str">
        <f>IF(facility!$A231&lt;&gt;"",facility!$A231,"")</f>
        <v/>
      </c>
    </row>
    <row r="232" spans="1:1" x14ac:dyDescent="0.35">
      <c r="A232" s="2" t="str">
        <f>IF(facility!$A232&lt;&gt;"",facility!$A232,"")</f>
        <v/>
      </c>
    </row>
    <row r="233" spans="1:1" x14ac:dyDescent="0.35">
      <c r="A233" s="2" t="str">
        <f>IF(facility!$A233&lt;&gt;"",facility!$A233,"")</f>
        <v/>
      </c>
    </row>
    <row r="234" spans="1:1" x14ac:dyDescent="0.35">
      <c r="A234" s="2" t="str">
        <f>IF(facility!$A234&lt;&gt;"",facility!$A234,"")</f>
        <v/>
      </c>
    </row>
    <row r="235" spans="1:1" x14ac:dyDescent="0.35">
      <c r="A235" s="2" t="str">
        <f>IF(facility!$A235&lt;&gt;"",facility!$A235,"")</f>
        <v/>
      </c>
    </row>
    <row r="236" spans="1:1" x14ac:dyDescent="0.35">
      <c r="A236" s="2" t="str">
        <f>IF(facility!$A236&lt;&gt;"",facility!$A236,"")</f>
        <v/>
      </c>
    </row>
    <row r="237" spans="1:1" x14ac:dyDescent="0.35">
      <c r="A237" s="2" t="str">
        <f>IF(facility!$A237&lt;&gt;"",facility!$A237,"")</f>
        <v/>
      </c>
    </row>
    <row r="238" spans="1:1" x14ac:dyDescent="0.35">
      <c r="A238" s="2" t="str">
        <f>IF(facility!$A238&lt;&gt;"",facility!$A238,"")</f>
        <v/>
      </c>
    </row>
    <row r="239" spans="1:1" x14ac:dyDescent="0.35">
      <c r="A239" s="2" t="str">
        <f>IF(facility!$A239&lt;&gt;"",facility!$A239,"")</f>
        <v/>
      </c>
    </row>
    <row r="240" spans="1:1" x14ac:dyDescent="0.35">
      <c r="A240" s="2" t="str">
        <f>IF(facility!$A240&lt;&gt;"",facility!$A240,"")</f>
        <v/>
      </c>
    </row>
    <row r="241" spans="1:1" x14ac:dyDescent="0.35">
      <c r="A241" s="2" t="str">
        <f>IF(facility!$A241&lt;&gt;"",facility!$A241,"")</f>
        <v/>
      </c>
    </row>
    <row r="242" spans="1:1" x14ac:dyDescent="0.35">
      <c r="A242" s="2" t="str">
        <f>IF(facility!$A242&lt;&gt;"",facility!$A242,"")</f>
        <v/>
      </c>
    </row>
    <row r="243" spans="1:1" x14ac:dyDescent="0.35">
      <c r="A243" s="2" t="str">
        <f>IF(facility!$A243&lt;&gt;"",facility!$A243,"")</f>
        <v/>
      </c>
    </row>
    <row r="244" spans="1:1" x14ac:dyDescent="0.35">
      <c r="A244" s="2" t="str">
        <f>IF(facility!$A244&lt;&gt;"",facility!$A244,"")</f>
        <v/>
      </c>
    </row>
    <row r="245" spans="1:1" x14ac:dyDescent="0.35">
      <c r="A245" s="2" t="str">
        <f>IF(facility!$A245&lt;&gt;"",facility!$A245,"")</f>
        <v/>
      </c>
    </row>
    <row r="246" spans="1:1" x14ac:dyDescent="0.35">
      <c r="A246" s="2" t="str">
        <f>IF(facility!$A246&lt;&gt;"",facility!$A246,"")</f>
        <v/>
      </c>
    </row>
    <row r="247" spans="1:1" x14ac:dyDescent="0.35">
      <c r="A247" s="2" t="str">
        <f>IF(facility!$A247&lt;&gt;"",facility!$A247,"")</f>
        <v/>
      </c>
    </row>
    <row r="248" spans="1:1" x14ac:dyDescent="0.35">
      <c r="A248" s="2" t="str">
        <f>IF(facility!$A248&lt;&gt;"",facility!$A248,"")</f>
        <v/>
      </c>
    </row>
    <row r="249" spans="1:1" x14ac:dyDescent="0.35">
      <c r="A249" s="2" t="str">
        <f>IF(facility!$A249&lt;&gt;"",facility!$A249,"")</f>
        <v/>
      </c>
    </row>
    <row r="250" spans="1:1" x14ac:dyDescent="0.35">
      <c r="A250" s="2" t="str">
        <f>IF(facility!$A250&lt;&gt;"",facility!$A250,"")</f>
        <v/>
      </c>
    </row>
    <row r="251" spans="1:1" x14ac:dyDescent="0.35">
      <c r="A251" s="2" t="str">
        <f>IF(facility!$A251&lt;&gt;"",facility!$A251,"")</f>
        <v/>
      </c>
    </row>
    <row r="252" spans="1:1" x14ac:dyDescent="0.35">
      <c r="A252" s="2" t="str">
        <f>IF(facility!$A252&lt;&gt;"",facility!$A252,"")</f>
        <v/>
      </c>
    </row>
    <row r="253" spans="1:1" x14ac:dyDescent="0.35">
      <c r="A253" s="2" t="str">
        <f>IF(facility!$A253&lt;&gt;"",facility!$A253,"")</f>
        <v/>
      </c>
    </row>
    <row r="254" spans="1:1" x14ac:dyDescent="0.35">
      <c r="A254" s="2" t="str">
        <f>IF(facility!$A254&lt;&gt;"",facility!$A254,"")</f>
        <v/>
      </c>
    </row>
    <row r="255" spans="1:1" x14ac:dyDescent="0.35">
      <c r="A255" s="2" t="str">
        <f>IF(facility!$A255&lt;&gt;"",facility!$A255,"")</f>
        <v/>
      </c>
    </row>
    <row r="256" spans="1:1" x14ac:dyDescent="0.35">
      <c r="A256" s="2" t="str">
        <f>IF(facility!$A256&lt;&gt;"",facility!$A256,"")</f>
        <v/>
      </c>
    </row>
    <row r="257" spans="1:1" x14ac:dyDescent="0.35">
      <c r="A257" s="2" t="str">
        <f>IF(facility!$A257&lt;&gt;"",facility!$A257,"")</f>
        <v/>
      </c>
    </row>
    <row r="258" spans="1:1" x14ac:dyDescent="0.35">
      <c r="A258" s="2" t="str">
        <f>IF(facility!$A258&lt;&gt;"",facility!$A258,"")</f>
        <v/>
      </c>
    </row>
    <row r="259" spans="1:1" x14ac:dyDescent="0.35">
      <c r="A259" s="2" t="str">
        <f>IF(facility!$A259&lt;&gt;"",facility!$A259,"")</f>
        <v/>
      </c>
    </row>
    <row r="260" spans="1:1" x14ac:dyDescent="0.35">
      <c r="A260" s="2" t="str">
        <f>IF(facility!$A260&lt;&gt;"",facility!$A260,"")</f>
        <v/>
      </c>
    </row>
    <row r="261" spans="1:1" x14ac:dyDescent="0.35">
      <c r="A261" s="2" t="str">
        <f>IF(facility!$A261&lt;&gt;"",facility!$A261,"")</f>
        <v/>
      </c>
    </row>
    <row r="262" spans="1:1" x14ac:dyDescent="0.35">
      <c r="A262" s="2" t="str">
        <f>IF(facility!$A262&lt;&gt;"",facility!$A262,"")</f>
        <v/>
      </c>
    </row>
    <row r="263" spans="1:1" x14ac:dyDescent="0.35">
      <c r="A263" s="2" t="str">
        <f>IF(facility!$A263&lt;&gt;"",facility!$A263,"")</f>
        <v/>
      </c>
    </row>
    <row r="264" spans="1:1" x14ac:dyDescent="0.35">
      <c r="A264" s="2" t="str">
        <f>IF(facility!$A264&lt;&gt;"",facility!$A264,"")</f>
        <v/>
      </c>
    </row>
    <row r="265" spans="1:1" x14ac:dyDescent="0.35">
      <c r="A265" s="2" t="str">
        <f>IF(facility!$A265&lt;&gt;"",facility!$A265,"")</f>
        <v/>
      </c>
    </row>
    <row r="266" spans="1:1" x14ac:dyDescent="0.35">
      <c r="A266" s="2" t="str">
        <f>IF(facility!$A266&lt;&gt;"",facility!$A266,"")</f>
        <v/>
      </c>
    </row>
    <row r="267" spans="1:1" x14ac:dyDescent="0.35">
      <c r="A267" s="2" t="str">
        <f>IF(facility!$A267&lt;&gt;"",facility!$A267,"")</f>
        <v/>
      </c>
    </row>
    <row r="268" spans="1:1" x14ac:dyDescent="0.35">
      <c r="A268" s="2" t="str">
        <f>IF(facility!$A268&lt;&gt;"",facility!$A268,"")</f>
        <v/>
      </c>
    </row>
    <row r="269" spans="1:1" x14ac:dyDescent="0.35">
      <c r="A269" s="2" t="str">
        <f>IF(facility!$A269&lt;&gt;"",facility!$A269,"")</f>
        <v/>
      </c>
    </row>
    <row r="270" spans="1:1" x14ac:dyDescent="0.35">
      <c r="A270" s="2" t="str">
        <f>IF(facility!$A270&lt;&gt;"",facility!$A270,"")</f>
        <v/>
      </c>
    </row>
    <row r="271" spans="1:1" x14ac:dyDescent="0.35">
      <c r="A271" s="2" t="str">
        <f>IF(facility!$A271&lt;&gt;"",facility!$A271,"")</f>
        <v/>
      </c>
    </row>
    <row r="272" spans="1:1" x14ac:dyDescent="0.35">
      <c r="A272" s="2" t="str">
        <f>IF(facility!$A272&lt;&gt;"",facility!$A272,"")</f>
        <v/>
      </c>
    </row>
    <row r="273" spans="1:1" x14ac:dyDescent="0.35">
      <c r="A273" s="2" t="str">
        <f>IF(facility!$A273&lt;&gt;"",facility!$A273,"")</f>
        <v/>
      </c>
    </row>
    <row r="274" spans="1:1" x14ac:dyDescent="0.35">
      <c r="A274" s="2" t="str">
        <f>IF(facility!$A274&lt;&gt;"",facility!$A274,"")</f>
        <v/>
      </c>
    </row>
    <row r="275" spans="1:1" x14ac:dyDescent="0.35">
      <c r="A275" s="2" t="str">
        <f>IF(facility!$A275&lt;&gt;"",facility!$A275,"")</f>
        <v/>
      </c>
    </row>
    <row r="276" spans="1:1" x14ac:dyDescent="0.35">
      <c r="A276" s="2" t="str">
        <f>IF(facility!$A276&lt;&gt;"",facility!$A276,"")</f>
        <v/>
      </c>
    </row>
    <row r="277" spans="1:1" x14ac:dyDescent="0.35">
      <c r="A277" s="2" t="str">
        <f>IF(facility!$A277&lt;&gt;"",facility!$A277,"")</f>
        <v/>
      </c>
    </row>
    <row r="278" spans="1:1" x14ac:dyDescent="0.35">
      <c r="A278" s="2" t="str">
        <f>IF(facility!$A278&lt;&gt;"",facility!$A278,"")</f>
        <v/>
      </c>
    </row>
    <row r="279" spans="1:1" x14ac:dyDescent="0.35">
      <c r="A279" s="2" t="str">
        <f>IF(facility!$A279&lt;&gt;"",facility!$A279,"")</f>
        <v/>
      </c>
    </row>
    <row r="280" spans="1:1" x14ac:dyDescent="0.35">
      <c r="A280" s="2" t="str">
        <f>IF(facility!$A280&lt;&gt;"",facility!$A280,"")</f>
        <v/>
      </c>
    </row>
    <row r="281" spans="1:1" x14ac:dyDescent="0.35">
      <c r="A281" s="2" t="str">
        <f>IF(facility!$A281&lt;&gt;"",facility!$A281,"")</f>
        <v/>
      </c>
    </row>
    <row r="282" spans="1:1" x14ac:dyDescent="0.35">
      <c r="A282" s="2" t="str">
        <f>IF(facility!$A282&lt;&gt;"",facility!$A282,"")</f>
        <v/>
      </c>
    </row>
    <row r="283" spans="1:1" x14ac:dyDescent="0.35">
      <c r="A283" s="2" t="str">
        <f>IF(facility!$A283&lt;&gt;"",facility!$A283,"")</f>
        <v/>
      </c>
    </row>
    <row r="284" spans="1:1" x14ac:dyDescent="0.35">
      <c r="A284" s="2" t="str">
        <f>IF(facility!$A284&lt;&gt;"",facility!$A284,"")</f>
        <v/>
      </c>
    </row>
    <row r="285" spans="1:1" x14ac:dyDescent="0.35">
      <c r="A285" s="2" t="str">
        <f>IF(facility!$A285&lt;&gt;"",facility!$A285,"")</f>
        <v/>
      </c>
    </row>
    <row r="286" spans="1:1" x14ac:dyDescent="0.35">
      <c r="A286" s="2" t="str">
        <f>IF(facility!$A286&lt;&gt;"",facility!$A286,"")</f>
        <v/>
      </c>
    </row>
    <row r="287" spans="1:1" x14ac:dyDescent="0.35">
      <c r="A287" s="2" t="str">
        <f>IF(facility!$A287&lt;&gt;"",facility!$A287,"")</f>
        <v/>
      </c>
    </row>
    <row r="288" spans="1:1" x14ac:dyDescent="0.35">
      <c r="A288" s="2" t="str">
        <f>IF(facility!$A288&lt;&gt;"",facility!$A288,"")</f>
        <v/>
      </c>
    </row>
    <row r="289" spans="1:1" x14ac:dyDescent="0.35">
      <c r="A289" s="2" t="str">
        <f>IF(facility!$A289&lt;&gt;"",facility!$A289,"")</f>
        <v/>
      </c>
    </row>
    <row r="290" spans="1:1" x14ac:dyDescent="0.35">
      <c r="A290" s="2" t="str">
        <f>IF(facility!$A290&lt;&gt;"",facility!$A290,"")</f>
        <v/>
      </c>
    </row>
    <row r="291" spans="1:1" x14ac:dyDescent="0.35">
      <c r="A291" s="2" t="str">
        <f>IF(facility!$A291&lt;&gt;"",facility!$A291,"")</f>
        <v/>
      </c>
    </row>
    <row r="292" spans="1:1" x14ac:dyDescent="0.35">
      <c r="A292" s="2" t="str">
        <f>IF(facility!$A292&lt;&gt;"",facility!$A292,"")</f>
        <v/>
      </c>
    </row>
    <row r="293" spans="1:1" x14ac:dyDescent="0.35">
      <c r="A293" s="2" t="str">
        <f>IF(facility!$A293&lt;&gt;"",facility!$A293,"")</f>
        <v/>
      </c>
    </row>
    <row r="294" spans="1:1" x14ac:dyDescent="0.35">
      <c r="A294" s="2" t="str">
        <f>IF(facility!$A294&lt;&gt;"",facility!$A294,"")</f>
        <v/>
      </c>
    </row>
    <row r="295" spans="1:1" x14ac:dyDescent="0.35">
      <c r="A295" s="2" t="str">
        <f>IF(facility!$A295&lt;&gt;"",facility!$A295,"")</f>
        <v/>
      </c>
    </row>
    <row r="296" spans="1:1" x14ac:dyDescent="0.35">
      <c r="A296" s="2" t="str">
        <f>IF(facility!$A296&lt;&gt;"",facility!$A296,"")</f>
        <v/>
      </c>
    </row>
    <row r="297" spans="1:1" x14ac:dyDescent="0.35">
      <c r="A297" s="2" t="str">
        <f>IF(facility!$A297&lt;&gt;"",facility!$A297,"")</f>
        <v/>
      </c>
    </row>
    <row r="298" spans="1:1" x14ac:dyDescent="0.35">
      <c r="A298" s="2" t="str">
        <f>IF(facility!$A298&lt;&gt;"",facility!$A298,"")</f>
        <v/>
      </c>
    </row>
    <row r="299" spans="1:1" x14ac:dyDescent="0.35">
      <c r="A299" s="2" t="str">
        <f>IF(facility!$A299&lt;&gt;"",facility!$A299,"")</f>
        <v/>
      </c>
    </row>
    <row r="300" spans="1:1" x14ac:dyDescent="0.35">
      <c r="A300" s="2" t="str">
        <f>IF(facility!$A300&lt;&gt;"",facility!$A300,"")</f>
        <v/>
      </c>
    </row>
    <row r="301" spans="1:1" x14ac:dyDescent="0.35">
      <c r="A301" s="2" t="str">
        <f>IF(facility!$A301&lt;&gt;"",facility!$A301,"")</f>
        <v/>
      </c>
    </row>
    <row r="302" spans="1:1" x14ac:dyDescent="0.35">
      <c r="A302" s="2" t="str">
        <f>IF(facility!$A302&lt;&gt;"",facility!$A302,"")</f>
        <v/>
      </c>
    </row>
    <row r="303" spans="1:1" x14ac:dyDescent="0.35">
      <c r="A303" s="2" t="str">
        <f>IF(facility!$A303&lt;&gt;"",facility!$A303,"")</f>
        <v/>
      </c>
    </row>
    <row r="304" spans="1:1" x14ac:dyDescent="0.35">
      <c r="A304" s="2" t="str">
        <f>IF(facility!$A304&lt;&gt;"",facility!$A304,"")</f>
        <v/>
      </c>
    </row>
    <row r="305" spans="1:1" x14ac:dyDescent="0.35">
      <c r="A305" s="2" t="str">
        <f>IF(facility!$A305&lt;&gt;"",facility!$A305,"")</f>
        <v/>
      </c>
    </row>
    <row r="306" spans="1:1" x14ac:dyDescent="0.35">
      <c r="A306" s="2" t="str">
        <f>IF(facility!$A306&lt;&gt;"",facility!$A306,"")</f>
        <v/>
      </c>
    </row>
    <row r="307" spans="1:1" x14ac:dyDescent="0.35">
      <c r="A307" s="2" t="str">
        <f>IF(facility!$A307&lt;&gt;"",facility!$A307,"")</f>
        <v/>
      </c>
    </row>
    <row r="308" spans="1:1" x14ac:dyDescent="0.35">
      <c r="A308" s="2" t="str">
        <f>IF(facility!$A308&lt;&gt;"",facility!$A308,"")</f>
        <v/>
      </c>
    </row>
    <row r="309" spans="1:1" x14ac:dyDescent="0.35">
      <c r="A309" s="2" t="str">
        <f>IF(facility!$A309&lt;&gt;"",facility!$A309,"")</f>
        <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675E6-84A9-47F5-9F57-7EFFEA7B5F3B}">
  <sheetPr>
    <tabColor theme="5" tint="0.39997558519241921"/>
  </sheetPr>
  <dimension ref="A1:KJ309"/>
  <sheetViews>
    <sheetView topLeftCell="I1" zoomScaleNormal="100" workbookViewId="0">
      <selection activeCell="L3" sqref="L3"/>
    </sheetView>
  </sheetViews>
  <sheetFormatPr defaultRowHeight="14.5" x14ac:dyDescent="0.35"/>
  <cols>
    <col min="1" max="1" width="15.54296875" bestFit="1" customWidth="1"/>
    <col min="2" max="2" width="31.81640625" bestFit="1" customWidth="1"/>
    <col min="3" max="3" width="30" bestFit="1" customWidth="1"/>
    <col min="4" max="4" width="26.1796875" bestFit="1" customWidth="1"/>
    <col min="5" max="5" width="31.36328125" bestFit="1" customWidth="1"/>
    <col min="6" max="6" width="29.1796875" bestFit="1" customWidth="1"/>
    <col min="7" max="7" width="21.7265625" customWidth="1"/>
    <col min="8" max="8" width="27.81640625" customWidth="1"/>
    <col min="9" max="9" width="29.36328125" bestFit="1" customWidth="1"/>
    <col min="10" max="11" width="25.26953125" bestFit="1" customWidth="1"/>
    <col min="12" max="12" width="21.26953125" bestFit="1" customWidth="1"/>
    <col min="13" max="13" width="26.81640625" bestFit="1" customWidth="1"/>
  </cols>
  <sheetData>
    <row r="1" spans="1:296" s="2" customFormat="1" x14ac:dyDescent="0.35">
      <c r="A1" s="2" t="s">
        <v>0</v>
      </c>
      <c r="B1" s="2" t="str">
        <f>IF(interventions!$A2&lt;&gt;"",interventions!$A2&amp;"_cost","")</f>
        <v>solar_system1_cost</v>
      </c>
      <c r="C1" s="2" t="str">
        <f>IF(interventions!$A3&lt;&gt;"",interventions!$A3&amp;"_cost","")</f>
        <v>led_light1_cost</v>
      </c>
      <c r="D1" s="2" t="str">
        <f>IF(interventions!$A4&lt;&gt;"",interventions!$A4&amp;"_cost","")</f>
        <v>energy_efficient_fridge1_cost</v>
      </c>
      <c r="E1" s="2" t="str">
        <f>IF(interventions!$A5&lt;&gt;"",interventions!$A5&amp;"_cost","")</f>
        <v>energy_efficient_fridge_multi5_cost</v>
      </c>
      <c r="F1" s="2" t="str">
        <f>IF(interventions!$A6&lt;&gt;"",interventions!$A6&amp;"_cost","")</f>
        <v>laundry_machine_cost</v>
      </c>
      <c r="G1" s="2" t="str">
        <f>IF(interventions!$A7&lt;&gt;"",interventions!$A7&amp;"_cost","")</f>
        <v>energy_efficient_ac_multi1_cost</v>
      </c>
      <c r="H1" s="2" t="str">
        <f>IF(interventions!$A8&lt;&gt;"",interventions!$A8&amp;"_cost","")</f>
        <v>energy_efficient_ac_multi5_cost</v>
      </c>
      <c r="I1" s="2" t="str">
        <f>IF(interventions!$A9&lt;&gt;"",interventions!$A9&amp;"_cost","")</f>
        <v>energy_efficient_ac_multi10_cost</v>
      </c>
      <c r="J1" s="2" t="str">
        <f>IF(interventions!$A10&lt;&gt;"",interventions!$A10&amp;"_cost","")</f>
        <v>tree_planting_multi100_cost</v>
      </c>
      <c r="K1" s="2" t="str">
        <f>IF(interventions!$A11&lt;&gt;"",interventions!$A11&amp;"_cost","")</f>
        <v>tree_planting_multi200_cost</v>
      </c>
      <c r="L1" s="2" t="str">
        <f>IF(interventions!$A12&lt;&gt;"",interventions!$A12&amp;"_cost","")</f>
        <v>waste_segregation_cost</v>
      </c>
      <c r="M1" s="2" t="str">
        <f>IF(interventions!$A13&lt;&gt;"",interventions!$A13&amp;"_cost","")</f>
        <v>staff_training_awareness_cost</v>
      </c>
      <c r="N1" s="2" t="str">
        <f>IF(interventions!$A14&lt;&gt;"",interventions!$A14&amp;"_cost","")</f>
        <v/>
      </c>
      <c r="O1" s="2" t="str">
        <f>IF(interventions!$A15&lt;&gt;"",interventions!$A15&amp;"_cost","")</f>
        <v/>
      </c>
      <c r="P1" s="2" t="str">
        <f>IF(interventions!$A16&lt;&gt;"",interventions!$A16&amp;"_cost","")</f>
        <v/>
      </c>
      <c r="Q1" s="2" t="str">
        <f>IF(interventions!$A17&lt;&gt;"",interventions!$A17&amp;"_cost","")</f>
        <v/>
      </c>
      <c r="R1" s="2" t="str">
        <f>IF(interventions!$A18&lt;&gt;"",interventions!$A18&amp;"_cost","")</f>
        <v/>
      </c>
      <c r="S1" s="2" t="str">
        <f>IF(interventions!$A19&lt;&gt;"",interventions!$A19&amp;"_cost","")</f>
        <v/>
      </c>
      <c r="T1" s="2" t="str">
        <f>IF(interventions!$A20&lt;&gt;"",interventions!$A20&amp;"_cost","")</f>
        <v/>
      </c>
      <c r="U1" s="2" t="str">
        <f>IF(interventions!$A21&lt;&gt;"",interventions!$A21&amp;"_cost","")</f>
        <v/>
      </c>
      <c r="V1" s="2" t="str">
        <f>IF(interventions!$A22&lt;&gt;"",interventions!$A22&amp;"_cost","")</f>
        <v/>
      </c>
      <c r="W1" s="2" t="str">
        <f>IF(interventions!$A23&lt;&gt;"",interventions!$A23&amp;"_cost","")</f>
        <v/>
      </c>
      <c r="X1" s="2" t="str">
        <f>IF(interventions!$A24&lt;&gt;"",interventions!$A24&amp;"_cost","")</f>
        <v/>
      </c>
      <c r="Y1" s="2" t="str">
        <f>IF(interventions!$A25&lt;&gt;"",interventions!$A25&amp;"_cost","")</f>
        <v/>
      </c>
      <c r="Z1" s="2" t="str">
        <f>IF(interventions!$A26&lt;&gt;"",interventions!$A26&amp;"_cost","")</f>
        <v/>
      </c>
      <c r="AA1" s="2" t="str">
        <f>IF(interventions!$A27&lt;&gt;"",interventions!$A27&amp;"_cost","")</f>
        <v/>
      </c>
      <c r="AB1" s="2" t="str">
        <f>IF(interventions!$A28&lt;&gt;"",interventions!$A28&amp;"_cost","")</f>
        <v/>
      </c>
      <c r="AC1" s="2" t="str">
        <f>IF(interventions!$A29&lt;&gt;"",interventions!$A29&amp;"_cost","")</f>
        <v/>
      </c>
      <c r="AD1" s="2" t="str">
        <f>IF(interventions!$A30&lt;&gt;"",interventions!$A30&amp;"_cost","")</f>
        <v/>
      </c>
      <c r="AE1" s="2" t="str">
        <f>IF(interventions!$A31&lt;&gt;"",interventions!$A31&amp;"_cost","")</f>
        <v/>
      </c>
      <c r="AF1" s="2" t="str">
        <f>IF(interventions!$A32&lt;&gt;"",interventions!$A32&amp;"_cost","")</f>
        <v/>
      </c>
      <c r="AG1" s="2" t="str">
        <f>IF(interventions!$A33&lt;&gt;"",interventions!$A33&amp;"_cost","")</f>
        <v/>
      </c>
      <c r="AH1" s="2" t="str">
        <f>IF(interventions!$A34&lt;&gt;"",interventions!$A34&amp;"_cost","")</f>
        <v/>
      </c>
      <c r="AI1" s="2" t="str">
        <f>IF(interventions!$A35&lt;&gt;"",interventions!$A35&amp;"_cost","")</f>
        <v/>
      </c>
      <c r="AJ1" s="2" t="str">
        <f>IF(interventions!$A36&lt;&gt;"",interventions!$A36&amp;"_cost","")</f>
        <v/>
      </c>
      <c r="AK1" s="2" t="str">
        <f>IF(interventions!$A37&lt;&gt;"",interventions!$A37&amp;"_cost","")</f>
        <v/>
      </c>
      <c r="AL1" s="2" t="str">
        <f>IF(interventions!$A38&lt;&gt;"",interventions!$A38&amp;"_cost","")</f>
        <v/>
      </c>
      <c r="AM1" s="2" t="str">
        <f>IF(interventions!$A39&lt;&gt;"",interventions!$A39&amp;"_cost","")</f>
        <v/>
      </c>
      <c r="AN1" s="2" t="str">
        <f>IF(interventions!$A40&lt;&gt;"",interventions!$A40&amp;"_cost","")</f>
        <v/>
      </c>
      <c r="AO1" s="2" t="str">
        <f>IF(interventions!$A41&lt;&gt;"",interventions!$A41&amp;"_cost","")</f>
        <v/>
      </c>
      <c r="AP1" s="2" t="str">
        <f>IF(interventions!$A42&lt;&gt;"",interventions!$A42&amp;"_cost","")</f>
        <v/>
      </c>
      <c r="AQ1" s="2" t="str">
        <f>IF(interventions!$A43&lt;&gt;"",interventions!$A43&amp;"_cost","")</f>
        <v/>
      </c>
      <c r="AR1" s="2" t="str">
        <f>IF(interventions!$A44&lt;&gt;"",interventions!$A44&amp;"_cost","")</f>
        <v/>
      </c>
      <c r="AS1" s="2" t="str">
        <f>IF(interventions!$A45&lt;&gt;"",interventions!$A45&amp;"_cost","")</f>
        <v/>
      </c>
      <c r="AT1" s="2" t="str">
        <f>IF(interventions!$A46&lt;&gt;"",interventions!$A46&amp;"_cost","")</f>
        <v/>
      </c>
      <c r="AU1" s="2" t="str">
        <f>IF(interventions!$A47&lt;&gt;"",interventions!$A47&amp;"_cost","")</f>
        <v/>
      </c>
      <c r="AV1" s="2" t="str">
        <f>IF(interventions!$A48&lt;&gt;"",interventions!$A48&amp;"_cost","")</f>
        <v/>
      </c>
      <c r="AW1" s="2" t="str">
        <f>IF(interventions!$A49&lt;&gt;"",interventions!$A49&amp;"_cost","")</f>
        <v/>
      </c>
      <c r="AX1" s="2" t="str">
        <f>IF(interventions!$A50&lt;&gt;"",interventions!$A50&amp;"_cost","")</f>
        <v/>
      </c>
      <c r="AY1" s="2" t="str">
        <f>IF(interventions!$A51&lt;&gt;"",interventions!$A51&amp;"_cost","")</f>
        <v/>
      </c>
      <c r="AZ1" s="2" t="str">
        <f>IF(interventions!$A52&lt;&gt;"",interventions!$A52&amp;"_cost","")</f>
        <v/>
      </c>
      <c r="BA1" s="2" t="str">
        <f>IF(interventions!$A53&lt;&gt;"",interventions!$A53&amp;"_cost","")</f>
        <v/>
      </c>
      <c r="BB1" s="2" t="str">
        <f>IF(interventions!$A54&lt;&gt;"",interventions!$A54&amp;"_cost","")</f>
        <v/>
      </c>
      <c r="BC1" s="2" t="str">
        <f>IF(interventions!$A55&lt;&gt;"",interventions!$A55&amp;"_cost","")</f>
        <v/>
      </c>
      <c r="BD1" s="2" t="str">
        <f>IF(interventions!$A56&lt;&gt;"",interventions!$A56&amp;"_cost","")</f>
        <v/>
      </c>
      <c r="BE1" s="2" t="str">
        <f>IF(interventions!$A57&lt;&gt;"",interventions!$A57&amp;"_cost","")</f>
        <v/>
      </c>
      <c r="BF1" s="2" t="str">
        <f>IF(interventions!$A58&lt;&gt;"",interventions!$A58&amp;"_cost","")</f>
        <v/>
      </c>
      <c r="BG1" s="2" t="str">
        <f>IF(interventions!$A59&lt;&gt;"",interventions!$A59&amp;"_cost","")</f>
        <v/>
      </c>
      <c r="BH1" s="2" t="str">
        <f>IF(interventions!$A60&lt;&gt;"",interventions!$A60&amp;"_cost","")</f>
        <v/>
      </c>
      <c r="BI1" s="2" t="str">
        <f>IF(interventions!$A61&lt;&gt;"",interventions!$A61&amp;"_cost","")</f>
        <v/>
      </c>
      <c r="BJ1" s="2" t="str">
        <f>IF(interventions!$A62&lt;&gt;"",interventions!$A62&amp;"_cost","")</f>
        <v/>
      </c>
      <c r="BK1" s="2" t="str">
        <f>IF(interventions!$A63&lt;&gt;"",interventions!$A63&amp;"_cost","")</f>
        <v/>
      </c>
      <c r="BL1" s="2" t="str">
        <f>IF(interventions!$A64&lt;&gt;"",interventions!$A64&amp;"_cost","")</f>
        <v/>
      </c>
      <c r="BM1" s="2" t="str">
        <f>IF(interventions!$A65&lt;&gt;"",interventions!$A65&amp;"_cost","")</f>
        <v/>
      </c>
      <c r="BN1" s="2" t="str">
        <f>IF(interventions!$A66&lt;&gt;"",interventions!$A66&amp;"_cost","")</f>
        <v/>
      </c>
      <c r="BO1" s="2" t="str">
        <f>IF(interventions!$A67&lt;&gt;"",interventions!$A67&amp;"_cost","")</f>
        <v/>
      </c>
      <c r="BP1" s="2" t="str">
        <f>IF(interventions!$A68&lt;&gt;"",interventions!$A68&amp;"_cost","")</f>
        <v/>
      </c>
      <c r="BQ1" s="2" t="str">
        <f>IF(interventions!$A69&lt;&gt;"",interventions!$A69&amp;"_cost","")</f>
        <v/>
      </c>
      <c r="BR1" s="2" t="str">
        <f>IF(interventions!$A70&lt;&gt;"",interventions!$A70&amp;"_cost","")</f>
        <v/>
      </c>
      <c r="BS1" s="2" t="str">
        <f>IF(interventions!$A71&lt;&gt;"",interventions!$A71&amp;"_cost","")</f>
        <v/>
      </c>
      <c r="BT1" s="2" t="str">
        <f>IF(interventions!$A72&lt;&gt;"",interventions!$A72&amp;"_cost","")</f>
        <v/>
      </c>
      <c r="BU1" s="2" t="str">
        <f>IF(interventions!$A73&lt;&gt;"",interventions!$A73&amp;"_cost","")</f>
        <v/>
      </c>
      <c r="BV1" s="2" t="str">
        <f>IF(interventions!$A74&lt;&gt;"",interventions!$A74&amp;"_cost","")</f>
        <v/>
      </c>
      <c r="BW1" s="2" t="str">
        <f>IF(interventions!$A75&lt;&gt;"",interventions!$A75&amp;"_cost","")</f>
        <v/>
      </c>
      <c r="BX1" s="2" t="str">
        <f>IF(interventions!$A76&lt;&gt;"",interventions!$A76&amp;"_cost","")</f>
        <v/>
      </c>
      <c r="BY1" s="2" t="str">
        <f>IF(interventions!$A77&lt;&gt;"",interventions!$A77&amp;"_cost","")</f>
        <v/>
      </c>
      <c r="BZ1" s="2" t="str">
        <f>IF(interventions!$A78&lt;&gt;"",interventions!$A78&amp;"_cost","")</f>
        <v/>
      </c>
      <c r="CA1" s="2" t="str">
        <f>IF(interventions!$A79&lt;&gt;"",interventions!$A79&amp;"_cost","")</f>
        <v/>
      </c>
      <c r="CB1" s="2" t="str">
        <f>IF(interventions!$A80&lt;&gt;"",interventions!$A80&amp;"_cost","")</f>
        <v/>
      </c>
      <c r="CC1" s="2" t="str">
        <f>IF(interventions!$A81&lt;&gt;"",interventions!$A81&amp;"_cost","")</f>
        <v/>
      </c>
      <c r="CD1" s="2" t="str">
        <f>IF(interventions!$A82&lt;&gt;"",interventions!$A82&amp;"_cost","")</f>
        <v/>
      </c>
      <c r="CE1" s="2" t="str">
        <f>IF(interventions!$A83&lt;&gt;"",interventions!$A83&amp;"_cost","")</f>
        <v/>
      </c>
      <c r="CF1" s="2" t="str">
        <f>IF(interventions!$A84&lt;&gt;"",interventions!$A84&amp;"_cost","")</f>
        <v/>
      </c>
      <c r="CG1" s="2" t="str">
        <f>IF(interventions!$A85&lt;&gt;"",interventions!$A85&amp;"_cost","")</f>
        <v/>
      </c>
      <c r="CH1" s="2" t="str">
        <f>IF(interventions!$A86&lt;&gt;"",interventions!$A86&amp;"_cost","")</f>
        <v/>
      </c>
      <c r="CI1" s="2" t="str">
        <f>IF(interventions!$A87&lt;&gt;"",interventions!$A87&amp;"_cost","")</f>
        <v/>
      </c>
      <c r="CJ1" s="2" t="str">
        <f>IF(interventions!$A88&lt;&gt;"",interventions!$A88&amp;"_cost","")</f>
        <v/>
      </c>
      <c r="CK1" s="2" t="str">
        <f>IF(interventions!$A89&lt;&gt;"",interventions!$A89&amp;"_cost","")</f>
        <v/>
      </c>
      <c r="CL1" s="2" t="str">
        <f>IF(interventions!$A90&lt;&gt;"",interventions!$A90&amp;"_cost","")</f>
        <v/>
      </c>
      <c r="CM1" s="2" t="str">
        <f>IF(interventions!$A91&lt;&gt;"",interventions!$A91&amp;"_cost","")</f>
        <v/>
      </c>
      <c r="CN1" s="2" t="str">
        <f>IF(interventions!$A92&lt;&gt;"",interventions!$A92&amp;"_cost","")</f>
        <v/>
      </c>
      <c r="CO1" s="2" t="str">
        <f>IF(interventions!$A93&lt;&gt;"",interventions!$A93&amp;"_cost","")</f>
        <v/>
      </c>
      <c r="CP1" s="2" t="str">
        <f>IF(interventions!$A94&lt;&gt;"",interventions!$A94&amp;"_cost","")</f>
        <v/>
      </c>
      <c r="CQ1" s="2" t="str">
        <f>IF(interventions!$A95&lt;&gt;"",interventions!$A95&amp;"_cost","")</f>
        <v/>
      </c>
      <c r="CR1" s="2" t="str">
        <f>IF(interventions!$A96&lt;&gt;"",interventions!$A96&amp;"_cost","")</f>
        <v/>
      </c>
      <c r="CS1" s="2" t="str">
        <f>IF(interventions!$A97&lt;&gt;"",interventions!$A97&amp;"_cost","")</f>
        <v/>
      </c>
      <c r="CT1" s="2" t="str">
        <f>IF(interventions!$A98&lt;&gt;"",interventions!$A98&amp;"_cost","")</f>
        <v/>
      </c>
      <c r="CU1" s="2" t="str">
        <f>IF(interventions!$A99&lt;&gt;"",interventions!$A99&amp;"_cost","")</f>
        <v/>
      </c>
      <c r="CV1" s="2" t="str">
        <f>IF(interventions!$A100&lt;&gt;"",interventions!$A100&amp;"_cost","")</f>
        <v/>
      </c>
      <c r="CW1" s="2" t="str">
        <f>IF(interventions!$A101&lt;&gt;"",interventions!$A101&amp;"_cost","")</f>
        <v/>
      </c>
      <c r="CX1" s="2" t="str">
        <f>IF(interventions!$A102&lt;&gt;"",interventions!$A102&amp;"_cost","")</f>
        <v/>
      </c>
      <c r="CY1" s="2" t="str">
        <f>IF(interventions!$A103&lt;&gt;"",interventions!$A103&amp;"_cost","")</f>
        <v/>
      </c>
      <c r="CZ1" s="2" t="str">
        <f>IF(interventions!$A104&lt;&gt;"",interventions!$A104&amp;"_cost","")</f>
        <v/>
      </c>
      <c r="DA1" s="2" t="str">
        <f>IF(interventions!$A105&lt;&gt;"",interventions!$A105&amp;"_cost","")</f>
        <v/>
      </c>
      <c r="DB1" s="2" t="str">
        <f>IF(interventions!$A106&lt;&gt;"",interventions!$A106&amp;"_cost","")</f>
        <v/>
      </c>
      <c r="DC1" s="2" t="str">
        <f>IF(interventions!$A107&lt;&gt;"",interventions!$A107&amp;"_cost","")</f>
        <v/>
      </c>
      <c r="DD1" s="2" t="str">
        <f>IF(interventions!$A108&lt;&gt;"",interventions!$A108&amp;"_cost","")</f>
        <v/>
      </c>
      <c r="DE1" s="2" t="str">
        <f>IF(interventions!$A109&lt;&gt;"",interventions!$A109&amp;"_cost","")</f>
        <v/>
      </c>
      <c r="DF1" s="2" t="str">
        <f>IF(interventions!$A110&lt;&gt;"",interventions!$A110&amp;"_cost","")</f>
        <v/>
      </c>
      <c r="DG1" s="2" t="str">
        <f>IF(interventions!$A111&lt;&gt;"",interventions!$A111&amp;"_cost","")</f>
        <v/>
      </c>
      <c r="DH1" s="2" t="str">
        <f>IF(interventions!$A112&lt;&gt;"",interventions!$A112&amp;"_cost","")</f>
        <v/>
      </c>
      <c r="DI1" s="2" t="str">
        <f>IF(interventions!$A113&lt;&gt;"",interventions!$A113&amp;"_cost","")</f>
        <v/>
      </c>
      <c r="DJ1" s="2" t="str">
        <f>IF(interventions!$A114&lt;&gt;"",interventions!$A114&amp;"_cost","")</f>
        <v/>
      </c>
      <c r="DK1" s="2" t="str">
        <f>IF(interventions!$A115&lt;&gt;"",interventions!$A115&amp;"_cost","")</f>
        <v/>
      </c>
      <c r="DL1" s="2" t="str">
        <f>IF(interventions!$A116&lt;&gt;"",interventions!$A116&amp;"_cost","")</f>
        <v/>
      </c>
      <c r="DM1" s="2" t="str">
        <f>IF(interventions!$A117&lt;&gt;"",interventions!$A117&amp;"_cost","")</f>
        <v/>
      </c>
      <c r="DN1" s="2" t="str">
        <f>IF(interventions!$A118&lt;&gt;"",interventions!$A118&amp;"_cost","")</f>
        <v/>
      </c>
      <c r="DO1" s="2" t="str">
        <f>IF(interventions!$A119&lt;&gt;"",interventions!$A119&amp;"_cost","")</f>
        <v/>
      </c>
      <c r="DP1" s="2" t="str">
        <f>IF(interventions!$A120&lt;&gt;"",interventions!$A120&amp;"_cost","")</f>
        <v/>
      </c>
      <c r="DQ1" s="2" t="str">
        <f>IF(interventions!$A121&lt;&gt;"",interventions!$A121&amp;"_cost","")</f>
        <v/>
      </c>
      <c r="DR1" s="2" t="str">
        <f>IF(interventions!$A122&lt;&gt;"",interventions!$A122&amp;"_cost","")</f>
        <v/>
      </c>
      <c r="DS1" s="2" t="str">
        <f>IF(interventions!$A123&lt;&gt;"",interventions!$A123&amp;"_cost","")</f>
        <v/>
      </c>
      <c r="DT1" s="2" t="str">
        <f>IF(interventions!$A124&lt;&gt;"",interventions!$A124&amp;"_cost","")</f>
        <v/>
      </c>
      <c r="DU1" s="2" t="str">
        <f>IF(interventions!$A125&lt;&gt;"",interventions!$A125&amp;"_cost","")</f>
        <v/>
      </c>
      <c r="DV1" s="2" t="str">
        <f>IF(interventions!$A126&lt;&gt;"",interventions!$A126&amp;"_cost","")</f>
        <v/>
      </c>
      <c r="DW1" s="2" t="str">
        <f>IF(interventions!$A127&lt;&gt;"",interventions!$A127&amp;"_cost","")</f>
        <v/>
      </c>
      <c r="DX1" s="2" t="str">
        <f>IF(interventions!$A128&lt;&gt;"",interventions!$A128&amp;"_cost","")</f>
        <v/>
      </c>
      <c r="DY1" s="2" t="str">
        <f>IF(interventions!$A129&lt;&gt;"",interventions!$A129&amp;"_cost","")</f>
        <v/>
      </c>
      <c r="DZ1" s="2" t="str">
        <f>IF(interventions!$A130&lt;&gt;"",interventions!$A130&amp;"_cost","")</f>
        <v/>
      </c>
      <c r="EA1" s="2" t="str">
        <f>IF(interventions!$A131&lt;&gt;"",interventions!$A131&amp;"_cost","")</f>
        <v/>
      </c>
      <c r="EB1" s="2" t="str">
        <f>IF(interventions!$A132&lt;&gt;"",interventions!$A132&amp;"_cost","")</f>
        <v/>
      </c>
      <c r="EC1" s="2" t="str">
        <f>IF(interventions!$A133&lt;&gt;"",interventions!$A133&amp;"_cost","")</f>
        <v/>
      </c>
      <c r="ED1" s="2" t="str">
        <f>IF(interventions!$A134&lt;&gt;"",interventions!$A134&amp;"_cost","")</f>
        <v/>
      </c>
      <c r="EE1" s="2" t="str">
        <f>IF(interventions!$A135&lt;&gt;"",interventions!$A135&amp;"_cost","")</f>
        <v/>
      </c>
      <c r="EF1" s="2" t="str">
        <f>IF(interventions!$A136&lt;&gt;"",interventions!$A136&amp;"_cost","")</f>
        <v/>
      </c>
      <c r="EG1" s="2" t="str">
        <f>IF(interventions!$A137&lt;&gt;"",interventions!$A137&amp;"_cost","")</f>
        <v/>
      </c>
      <c r="EH1" s="2" t="str">
        <f>IF(interventions!$A138&lt;&gt;"",interventions!$A138&amp;"_cost","")</f>
        <v/>
      </c>
      <c r="EI1" s="2" t="str">
        <f>IF(interventions!$A139&lt;&gt;"",interventions!$A139&amp;"_cost","")</f>
        <v/>
      </c>
      <c r="EJ1" s="2" t="str">
        <f>IF(interventions!$A140&lt;&gt;"",interventions!$A140&amp;"_cost","")</f>
        <v/>
      </c>
      <c r="EK1" s="2" t="str">
        <f>IF(interventions!$A141&lt;&gt;"",interventions!$A141&amp;"_cost","")</f>
        <v/>
      </c>
      <c r="EL1" s="2" t="str">
        <f>IF(interventions!$A142&lt;&gt;"",interventions!$A142&amp;"_cost","")</f>
        <v/>
      </c>
      <c r="EM1" s="2" t="str">
        <f>IF(interventions!$A143&lt;&gt;"",interventions!$A143&amp;"_cost","")</f>
        <v/>
      </c>
      <c r="EN1" s="2" t="str">
        <f>IF(interventions!$A144&lt;&gt;"",interventions!$A144&amp;"_cost","")</f>
        <v/>
      </c>
      <c r="EO1" s="2" t="str">
        <f>IF(interventions!$A145&lt;&gt;"",interventions!$A145&amp;"_cost","")</f>
        <v/>
      </c>
      <c r="EP1" s="2" t="str">
        <f>IF(interventions!$A146&lt;&gt;"",interventions!$A146&amp;"_cost","")</f>
        <v/>
      </c>
      <c r="EQ1" s="2" t="str">
        <f>IF(interventions!$A147&lt;&gt;"",interventions!$A147&amp;"_cost","")</f>
        <v/>
      </c>
      <c r="ER1" s="2" t="str">
        <f>IF(interventions!$A148&lt;&gt;"",interventions!$A148&amp;"_cost","")</f>
        <v/>
      </c>
      <c r="ES1" s="2" t="str">
        <f>IF(interventions!$A149&lt;&gt;"",interventions!$A149&amp;"_cost","")</f>
        <v/>
      </c>
      <c r="ET1" s="2" t="str">
        <f>IF(interventions!$A150&lt;&gt;"",interventions!$A150&amp;"_cost","")</f>
        <v/>
      </c>
      <c r="EU1" s="2" t="str">
        <f>IF(interventions!$A151&lt;&gt;"",interventions!$A151&amp;"_cost","")</f>
        <v/>
      </c>
      <c r="EV1" s="2" t="str">
        <f>IF(interventions!$A152&lt;&gt;"",interventions!$A152&amp;"_cost","")</f>
        <v/>
      </c>
      <c r="EW1" s="2" t="str">
        <f>IF(interventions!$A153&lt;&gt;"",interventions!$A153&amp;"_cost","")</f>
        <v/>
      </c>
      <c r="EX1" s="2" t="str">
        <f>IF(interventions!$A154&lt;&gt;"",interventions!$A154&amp;"_cost","")</f>
        <v/>
      </c>
      <c r="EY1" s="2" t="str">
        <f>IF(interventions!$A155&lt;&gt;"",interventions!$A155&amp;"_cost","")</f>
        <v/>
      </c>
      <c r="EZ1" s="2" t="str">
        <f>IF(interventions!$A156&lt;&gt;"",interventions!$A156&amp;"_cost","")</f>
        <v/>
      </c>
      <c r="FA1" s="2" t="str">
        <f>IF(interventions!$A157&lt;&gt;"",interventions!$A157&amp;"_cost","")</f>
        <v/>
      </c>
      <c r="FB1" s="2" t="str">
        <f>IF(interventions!$A158&lt;&gt;"",interventions!$A158&amp;"_cost","")</f>
        <v/>
      </c>
      <c r="FC1" s="2" t="str">
        <f>IF(interventions!$A159&lt;&gt;"",interventions!$A159&amp;"_cost","")</f>
        <v/>
      </c>
      <c r="FD1" s="2" t="str">
        <f>IF(interventions!$A160&lt;&gt;"",interventions!$A160&amp;"_cost","")</f>
        <v/>
      </c>
      <c r="FE1" s="2" t="str">
        <f>IF(interventions!$A161&lt;&gt;"",interventions!$A161&amp;"_cost","")</f>
        <v/>
      </c>
      <c r="FF1" s="2" t="str">
        <f>IF(interventions!$A162&lt;&gt;"",interventions!$A162&amp;"_cost","")</f>
        <v/>
      </c>
      <c r="FG1" s="2" t="str">
        <f>IF(interventions!$A163&lt;&gt;"",interventions!$A163&amp;"_cost","")</f>
        <v/>
      </c>
      <c r="FH1" s="2" t="str">
        <f>IF(interventions!$A164&lt;&gt;"",interventions!$A164&amp;"_cost","")</f>
        <v/>
      </c>
      <c r="FI1" s="2" t="str">
        <f>IF(interventions!$A165&lt;&gt;"",interventions!$A165&amp;"_cost","")</f>
        <v/>
      </c>
      <c r="FJ1" s="2" t="str">
        <f>IF(interventions!$A166&lt;&gt;"",interventions!$A166&amp;"_cost","")</f>
        <v/>
      </c>
      <c r="FK1" s="2" t="str">
        <f>IF(interventions!$A167&lt;&gt;"",interventions!$A167&amp;"_cost","")</f>
        <v/>
      </c>
      <c r="FL1" s="2" t="str">
        <f>IF(interventions!$A168&lt;&gt;"",interventions!$A168&amp;"_cost","")</f>
        <v/>
      </c>
      <c r="FM1" s="2" t="str">
        <f>IF(interventions!$A169&lt;&gt;"",interventions!$A169&amp;"_cost","")</f>
        <v/>
      </c>
      <c r="FN1" s="2" t="str">
        <f>IF(interventions!$A170&lt;&gt;"",interventions!$A170&amp;"_cost","")</f>
        <v/>
      </c>
      <c r="FO1" s="2" t="str">
        <f>IF(interventions!$A171&lt;&gt;"",interventions!$A171&amp;"_cost","")</f>
        <v/>
      </c>
      <c r="FP1" s="2" t="str">
        <f>IF(interventions!$A172&lt;&gt;"",interventions!$A172&amp;"_cost","")</f>
        <v/>
      </c>
      <c r="FQ1" s="2" t="str">
        <f>IF(interventions!$A173&lt;&gt;"",interventions!$A173&amp;"_cost","")</f>
        <v/>
      </c>
      <c r="FR1" s="2" t="str">
        <f>IF(interventions!$A174&lt;&gt;"",interventions!$A174&amp;"_cost","")</f>
        <v/>
      </c>
      <c r="FS1" s="2" t="str">
        <f>IF(interventions!$A175&lt;&gt;"",interventions!$A175&amp;"_cost","")</f>
        <v/>
      </c>
      <c r="FT1" s="2" t="str">
        <f>IF(interventions!$A176&lt;&gt;"",interventions!$A176&amp;"_cost","")</f>
        <v/>
      </c>
      <c r="FU1" s="2" t="str">
        <f>IF(interventions!$A177&lt;&gt;"",interventions!$A177&amp;"_cost","")</f>
        <v/>
      </c>
      <c r="FV1" s="2" t="str">
        <f>IF(interventions!$A178&lt;&gt;"",interventions!$A178&amp;"_cost","")</f>
        <v/>
      </c>
      <c r="FW1" s="2" t="str">
        <f>IF(interventions!$A179&lt;&gt;"",interventions!$A179&amp;"_cost","")</f>
        <v/>
      </c>
      <c r="FX1" s="2" t="str">
        <f>IF(interventions!$A180&lt;&gt;"",interventions!$A180&amp;"_cost","")</f>
        <v/>
      </c>
      <c r="FY1" s="2" t="str">
        <f>IF(interventions!$A181&lt;&gt;"",interventions!$A181&amp;"_cost","")</f>
        <v/>
      </c>
      <c r="FZ1" s="2" t="str">
        <f>IF(interventions!$A182&lt;&gt;"",interventions!$A182&amp;"_cost","")</f>
        <v/>
      </c>
      <c r="GA1" s="2" t="str">
        <f>IF(interventions!$A183&lt;&gt;"",interventions!$A183&amp;"_cost","")</f>
        <v/>
      </c>
      <c r="GB1" s="2" t="str">
        <f>IF(interventions!$A184&lt;&gt;"",interventions!$A184&amp;"_cost","")</f>
        <v/>
      </c>
      <c r="GC1" s="2" t="str">
        <f>IF(interventions!$A185&lt;&gt;"",interventions!$A185&amp;"_cost","")</f>
        <v/>
      </c>
      <c r="GD1" s="2" t="str">
        <f>IF(interventions!$A186&lt;&gt;"",interventions!$A186&amp;"_cost","")</f>
        <v/>
      </c>
      <c r="GE1" s="2" t="str">
        <f>IF(interventions!$A187&lt;&gt;"",interventions!$A187&amp;"_cost","")</f>
        <v/>
      </c>
      <c r="GF1" s="2" t="str">
        <f>IF(interventions!$A188&lt;&gt;"",interventions!$A188&amp;"_cost","")</f>
        <v/>
      </c>
      <c r="GG1" s="2" t="str">
        <f>IF(interventions!$A189&lt;&gt;"",interventions!$A189&amp;"_cost","")</f>
        <v/>
      </c>
      <c r="GH1" s="2" t="str">
        <f>IF(interventions!$A190&lt;&gt;"",interventions!$A190&amp;"_cost","")</f>
        <v/>
      </c>
      <c r="GI1" s="2" t="str">
        <f>IF(interventions!$A191&lt;&gt;"",interventions!$A191&amp;"_cost","")</f>
        <v/>
      </c>
      <c r="GJ1" s="2" t="str">
        <f>IF(interventions!$A192&lt;&gt;"",interventions!$A192&amp;"_cost","")</f>
        <v/>
      </c>
      <c r="GK1" s="2" t="str">
        <f>IF(interventions!$A193&lt;&gt;"",interventions!$A193&amp;"_cost","")</f>
        <v/>
      </c>
      <c r="GL1" s="2" t="str">
        <f>IF(interventions!$A194&lt;&gt;"",interventions!$A194&amp;"_cost","")</f>
        <v/>
      </c>
      <c r="GM1" s="2" t="str">
        <f>IF(interventions!$A195&lt;&gt;"",interventions!$A195&amp;"_cost","")</f>
        <v/>
      </c>
      <c r="GN1" s="2" t="str">
        <f>IF(interventions!$A196&lt;&gt;"",interventions!$A196&amp;"_cost","")</f>
        <v/>
      </c>
      <c r="GO1" s="2" t="str">
        <f>IF(interventions!$A197&lt;&gt;"",interventions!$A197&amp;"_cost","")</f>
        <v/>
      </c>
      <c r="GP1" s="2" t="str">
        <f>IF(interventions!$A198&lt;&gt;"",interventions!$A198&amp;"_cost","")</f>
        <v/>
      </c>
      <c r="GQ1" s="2" t="str">
        <f>IF(interventions!$A199&lt;&gt;"",interventions!$A199&amp;"_cost","")</f>
        <v/>
      </c>
      <c r="GR1" s="2" t="str">
        <f>IF(interventions!$A200&lt;&gt;"",interventions!$A200&amp;"_cost","")</f>
        <v/>
      </c>
      <c r="GS1" s="2" t="str">
        <f>IF(interventions!$A201&lt;&gt;"",interventions!$A201&amp;"_cost","")</f>
        <v/>
      </c>
      <c r="GT1" s="2" t="str">
        <f>IF(interventions!$A202&lt;&gt;"",interventions!$A202&amp;"_cost","")</f>
        <v/>
      </c>
      <c r="GU1" s="2" t="str">
        <f>IF(interventions!$A203&lt;&gt;"",interventions!$A203&amp;"_cost","")</f>
        <v/>
      </c>
      <c r="GV1" s="2" t="str">
        <f>IF(interventions!$A204&lt;&gt;"",interventions!$A204&amp;"_cost","")</f>
        <v/>
      </c>
      <c r="GW1" s="2" t="str">
        <f>IF(interventions!$A205&lt;&gt;"",interventions!$A205&amp;"_cost","")</f>
        <v/>
      </c>
      <c r="GX1" s="2" t="str">
        <f>IF(interventions!$A206&lt;&gt;"",interventions!$A206&amp;"_cost","")</f>
        <v/>
      </c>
      <c r="GY1" s="2" t="str">
        <f>IF(interventions!$A207&lt;&gt;"",interventions!$A207&amp;"_cost","")</f>
        <v/>
      </c>
      <c r="GZ1" s="2" t="str">
        <f>IF(interventions!$A208&lt;&gt;"",interventions!$A208&amp;"_cost","")</f>
        <v/>
      </c>
      <c r="HA1" s="2" t="str">
        <f>IF(interventions!$A209&lt;&gt;"",interventions!$A209&amp;"_cost","")</f>
        <v/>
      </c>
      <c r="HB1" s="2" t="str">
        <f>IF(interventions!$A210&lt;&gt;"",interventions!$A210&amp;"_cost","")</f>
        <v/>
      </c>
      <c r="HC1" s="2" t="str">
        <f>IF(interventions!$A211&lt;&gt;"",interventions!$A211&amp;"_cost","")</f>
        <v/>
      </c>
      <c r="HD1" s="2" t="str">
        <f>IF(interventions!$A212&lt;&gt;"",interventions!$A212&amp;"_cost","")</f>
        <v/>
      </c>
      <c r="HE1" s="2" t="str">
        <f>IF(interventions!$A213&lt;&gt;"",interventions!$A213&amp;"_cost","")</f>
        <v/>
      </c>
      <c r="HF1" s="2" t="str">
        <f>IF(interventions!$A214&lt;&gt;"",interventions!$A214&amp;"_cost","")</f>
        <v/>
      </c>
      <c r="HG1" s="2" t="str">
        <f>IF(interventions!$A215&lt;&gt;"",interventions!$A215&amp;"_cost","")</f>
        <v/>
      </c>
      <c r="HH1" s="2" t="str">
        <f>IF(interventions!$A216&lt;&gt;"",interventions!$A216&amp;"_cost","")</f>
        <v/>
      </c>
      <c r="HI1" s="2" t="str">
        <f>IF(interventions!$A217&lt;&gt;"",interventions!$A217&amp;"_cost","")</f>
        <v/>
      </c>
      <c r="HJ1" s="2" t="str">
        <f>IF(interventions!$A218&lt;&gt;"",interventions!$A218&amp;"_cost","")</f>
        <v/>
      </c>
      <c r="HK1" s="2" t="str">
        <f>IF(interventions!$A219&lt;&gt;"",interventions!$A219&amp;"_cost","")</f>
        <v/>
      </c>
      <c r="HL1" s="2" t="str">
        <f>IF(interventions!$A220&lt;&gt;"",interventions!$A220&amp;"_cost","")</f>
        <v/>
      </c>
      <c r="HM1" s="2" t="str">
        <f>IF(interventions!$A221&lt;&gt;"",interventions!$A221&amp;"_cost","")</f>
        <v/>
      </c>
      <c r="HN1" s="2" t="str">
        <f>IF(interventions!$A222&lt;&gt;"",interventions!$A222&amp;"_cost","")</f>
        <v/>
      </c>
      <c r="HO1" s="2" t="str">
        <f>IF(interventions!$A223&lt;&gt;"",interventions!$A223&amp;"_cost","")</f>
        <v/>
      </c>
      <c r="HP1" s="2" t="str">
        <f>IF(interventions!$A224&lt;&gt;"",interventions!$A224&amp;"_cost","")</f>
        <v/>
      </c>
      <c r="HQ1" s="2" t="str">
        <f>IF(interventions!$A225&lt;&gt;"",interventions!$A225&amp;"_cost","")</f>
        <v/>
      </c>
      <c r="HR1" s="2" t="str">
        <f>IF(interventions!$A226&lt;&gt;"",interventions!$A226&amp;"_cost","")</f>
        <v/>
      </c>
      <c r="HS1" s="2" t="str">
        <f>IF(interventions!$A227&lt;&gt;"",interventions!$A227&amp;"_cost","")</f>
        <v/>
      </c>
      <c r="HT1" s="2" t="str">
        <f>IF(interventions!$A228&lt;&gt;"",interventions!$A228&amp;"_cost","")</f>
        <v/>
      </c>
      <c r="HU1" s="2" t="str">
        <f>IF(interventions!$A229&lt;&gt;"",interventions!$A229&amp;"_cost","")</f>
        <v/>
      </c>
      <c r="HV1" s="2" t="str">
        <f>IF(interventions!$A230&lt;&gt;"",interventions!$A230&amp;"_cost","")</f>
        <v/>
      </c>
      <c r="HW1" s="2" t="str">
        <f>IF(interventions!$A231&lt;&gt;"",interventions!$A231&amp;"_cost","")</f>
        <v/>
      </c>
      <c r="HX1" s="2" t="str">
        <f>IF(interventions!$A232&lt;&gt;"",interventions!$A232&amp;"_cost","")</f>
        <v/>
      </c>
      <c r="HY1" s="2" t="str">
        <f>IF(interventions!$A233&lt;&gt;"",interventions!$A233&amp;"_cost","")</f>
        <v/>
      </c>
      <c r="HZ1" s="2" t="str">
        <f>IF(interventions!$A234&lt;&gt;"",interventions!$A234&amp;"_cost","")</f>
        <v/>
      </c>
      <c r="IA1" s="2" t="str">
        <f>IF(interventions!$A235&lt;&gt;"",interventions!$A235&amp;"_cost","")</f>
        <v/>
      </c>
      <c r="IB1" s="2" t="str">
        <f>IF(interventions!$A236&lt;&gt;"",interventions!$A236&amp;"_cost","")</f>
        <v/>
      </c>
      <c r="IC1" s="2" t="str">
        <f>IF(interventions!$A237&lt;&gt;"",interventions!$A237&amp;"_cost","")</f>
        <v/>
      </c>
      <c r="ID1" s="2" t="str">
        <f>IF(interventions!$A238&lt;&gt;"",interventions!$A238&amp;"_cost","")</f>
        <v/>
      </c>
      <c r="IE1" s="2" t="str">
        <f>IF(interventions!$A239&lt;&gt;"",interventions!$A239&amp;"_cost","")</f>
        <v/>
      </c>
      <c r="IF1" s="2" t="str">
        <f>IF(interventions!$A240&lt;&gt;"",interventions!$A240&amp;"_cost","")</f>
        <v/>
      </c>
      <c r="IG1" s="2" t="str">
        <f>IF(interventions!$A241&lt;&gt;"",interventions!$A241&amp;"_cost","")</f>
        <v/>
      </c>
      <c r="IH1" s="2" t="str">
        <f>IF(interventions!$A242&lt;&gt;"",interventions!$A242&amp;"_cost","")</f>
        <v/>
      </c>
      <c r="II1" s="2" t="str">
        <f>IF(interventions!$A243&lt;&gt;"",interventions!$A243&amp;"_cost","")</f>
        <v/>
      </c>
      <c r="IJ1" s="2" t="str">
        <f>IF(interventions!$A244&lt;&gt;"",interventions!$A244&amp;"_cost","")</f>
        <v/>
      </c>
      <c r="IK1" s="2" t="str">
        <f>IF(interventions!$A245&lt;&gt;"",interventions!$A245&amp;"_cost","")</f>
        <v/>
      </c>
      <c r="IL1" s="2" t="str">
        <f>IF(interventions!$A246&lt;&gt;"",interventions!$A246&amp;"_cost","")</f>
        <v/>
      </c>
      <c r="IM1" s="2" t="str">
        <f>IF(interventions!$A247&lt;&gt;"",interventions!$A247&amp;"_cost","")</f>
        <v/>
      </c>
      <c r="IN1" s="2" t="str">
        <f>IF(interventions!$A248&lt;&gt;"",interventions!$A248&amp;"_cost","")</f>
        <v/>
      </c>
      <c r="IO1" s="2" t="str">
        <f>IF(interventions!$A249&lt;&gt;"",interventions!$A249&amp;"_cost","")</f>
        <v/>
      </c>
      <c r="IP1" s="2" t="str">
        <f>IF(interventions!$A250&lt;&gt;"",interventions!$A250&amp;"_cost","")</f>
        <v/>
      </c>
      <c r="IQ1" s="2" t="str">
        <f>IF(interventions!$A251&lt;&gt;"",interventions!$A251&amp;"_cost","")</f>
        <v/>
      </c>
      <c r="IR1" s="2" t="str">
        <f>IF(interventions!$A252&lt;&gt;"",interventions!$A252&amp;"_cost","")</f>
        <v/>
      </c>
      <c r="IS1" s="2" t="str">
        <f>IF(interventions!$A253&lt;&gt;"",interventions!$A253&amp;"_cost","")</f>
        <v/>
      </c>
      <c r="IT1" s="2" t="str">
        <f>IF(interventions!$A254&lt;&gt;"",interventions!$A254&amp;"_cost","")</f>
        <v/>
      </c>
      <c r="IU1" s="2" t="str">
        <f>IF(interventions!$A255&lt;&gt;"",interventions!$A255&amp;"_cost","")</f>
        <v/>
      </c>
      <c r="IV1" s="2" t="str">
        <f>IF(interventions!$A256&lt;&gt;"",interventions!$A256&amp;"_cost","")</f>
        <v/>
      </c>
      <c r="IW1" s="2" t="str">
        <f>IF(interventions!$A257&lt;&gt;"",interventions!$A257&amp;"_cost","")</f>
        <v/>
      </c>
      <c r="IX1" s="2" t="str">
        <f>IF(interventions!$A258&lt;&gt;"",interventions!$A258&amp;"_cost","")</f>
        <v/>
      </c>
      <c r="IY1" s="2" t="str">
        <f>IF(interventions!$A259&lt;&gt;"",interventions!$A259&amp;"_cost","")</f>
        <v/>
      </c>
      <c r="IZ1" s="2" t="str">
        <f>IF(interventions!$A260&lt;&gt;"",interventions!$A260&amp;"_cost","")</f>
        <v/>
      </c>
      <c r="JA1" s="2" t="str">
        <f>IF(interventions!$A261&lt;&gt;"",interventions!$A261&amp;"_cost","")</f>
        <v/>
      </c>
      <c r="JB1" s="2" t="str">
        <f>IF(interventions!$A262&lt;&gt;"",interventions!$A262&amp;"_cost","")</f>
        <v/>
      </c>
      <c r="JC1" s="2" t="str">
        <f>IF(interventions!$A263&lt;&gt;"",interventions!$A263&amp;"_cost","")</f>
        <v/>
      </c>
      <c r="JD1" s="2" t="str">
        <f>IF(interventions!$A264&lt;&gt;"",interventions!$A264&amp;"_cost","")</f>
        <v/>
      </c>
      <c r="JE1" s="2" t="str">
        <f>IF(interventions!$A265&lt;&gt;"",interventions!$A265&amp;"_cost","")</f>
        <v/>
      </c>
      <c r="JF1" s="2" t="str">
        <f>IF(interventions!$A266&lt;&gt;"",interventions!$A266&amp;"_cost","")</f>
        <v/>
      </c>
      <c r="JG1" s="2" t="str">
        <f>IF(interventions!$A267&lt;&gt;"",interventions!$A267&amp;"_cost","")</f>
        <v/>
      </c>
      <c r="JH1" s="2" t="str">
        <f>IF(interventions!$A268&lt;&gt;"",interventions!$A268&amp;"_cost","")</f>
        <v/>
      </c>
      <c r="JI1" s="2" t="str">
        <f>IF(interventions!$A269&lt;&gt;"",interventions!$A269&amp;"_cost","")</f>
        <v/>
      </c>
      <c r="JJ1" s="2" t="str">
        <f>IF(interventions!$A270&lt;&gt;"",interventions!$A270&amp;"_cost","")</f>
        <v/>
      </c>
      <c r="JK1" s="2" t="str">
        <f>IF(interventions!$A271&lt;&gt;"",interventions!$A271&amp;"_cost","")</f>
        <v/>
      </c>
      <c r="JL1" s="2" t="str">
        <f>IF(interventions!$A272&lt;&gt;"",interventions!$A272&amp;"_cost","")</f>
        <v/>
      </c>
      <c r="JM1" s="2" t="str">
        <f>IF(interventions!$A273&lt;&gt;"",interventions!$A273&amp;"_cost","")</f>
        <v/>
      </c>
      <c r="JN1" s="2" t="str">
        <f>IF(interventions!$A274&lt;&gt;"",interventions!$A274&amp;"_cost","")</f>
        <v/>
      </c>
      <c r="JO1" s="2" t="str">
        <f>IF(interventions!$A275&lt;&gt;"",interventions!$A275&amp;"_cost","")</f>
        <v/>
      </c>
      <c r="JP1" s="2" t="str">
        <f>IF(interventions!$A276&lt;&gt;"",interventions!$A276&amp;"_cost","")</f>
        <v/>
      </c>
      <c r="JQ1" s="2" t="str">
        <f>IF(interventions!$A277&lt;&gt;"",interventions!$A277&amp;"_cost","")</f>
        <v/>
      </c>
      <c r="JR1" s="2" t="str">
        <f>IF(interventions!$A278&lt;&gt;"",interventions!$A278&amp;"_cost","")</f>
        <v/>
      </c>
      <c r="JS1" s="2" t="str">
        <f>IF(interventions!$A279&lt;&gt;"",interventions!$A279&amp;"_cost","")</f>
        <v/>
      </c>
      <c r="JT1" s="2" t="str">
        <f>IF(interventions!$A280&lt;&gt;"",interventions!$A280&amp;"_cost","")</f>
        <v/>
      </c>
      <c r="JU1" s="2" t="str">
        <f>IF(interventions!$A281&lt;&gt;"",interventions!$A281&amp;"_cost","")</f>
        <v/>
      </c>
      <c r="JV1" s="2" t="str">
        <f>IF(interventions!$A282&lt;&gt;"",interventions!$A282&amp;"_cost","")</f>
        <v/>
      </c>
      <c r="JW1" s="2" t="str">
        <f>IF(interventions!$A283&lt;&gt;"",interventions!$A283&amp;"_cost","")</f>
        <v/>
      </c>
      <c r="JX1" s="2" t="str">
        <f>IF(interventions!$A284&lt;&gt;"",interventions!$A284&amp;"_cost","")</f>
        <v/>
      </c>
      <c r="JY1" s="2" t="str">
        <f>IF(interventions!$A285&lt;&gt;"",interventions!$A285&amp;"_cost","")</f>
        <v/>
      </c>
      <c r="JZ1" s="2" t="str">
        <f>IF(interventions!$A286&lt;&gt;"",interventions!$A286&amp;"_cost","")</f>
        <v/>
      </c>
      <c r="KA1" s="2" t="str">
        <f>IF(interventions!$A287&lt;&gt;"",interventions!$A287&amp;"_cost","")</f>
        <v/>
      </c>
      <c r="KB1" s="2" t="str">
        <f>IF(interventions!$A288&lt;&gt;"",interventions!$A288&amp;"_cost","")</f>
        <v/>
      </c>
      <c r="KC1" s="2" t="str">
        <f>IF(interventions!$A289&lt;&gt;"",interventions!$A289&amp;"_cost","")</f>
        <v/>
      </c>
      <c r="KD1" s="2" t="str">
        <f>IF(interventions!$A290&lt;&gt;"",interventions!$A290&amp;"_cost","")</f>
        <v/>
      </c>
      <c r="KE1" s="2" t="str">
        <f>IF(interventions!$A291&lt;&gt;"",interventions!$A291&amp;"_cost","")</f>
        <v/>
      </c>
      <c r="KF1" s="2" t="str">
        <f>IF(interventions!$A292&lt;&gt;"",interventions!$A292&amp;"_cost","")</f>
        <v/>
      </c>
      <c r="KG1" s="2" t="str">
        <f>IF(interventions!$A293&lt;&gt;"",interventions!$A293&amp;"_cost","")</f>
        <v/>
      </c>
      <c r="KH1" s="2" t="str">
        <f>IF(interventions!$A294&lt;&gt;"",interventions!$A294&amp;"_cost","")</f>
        <v/>
      </c>
      <c r="KI1" s="2" t="str">
        <f>IF(interventions!$A295&lt;&gt;"",interventions!$A295&amp;"_cost","")</f>
        <v/>
      </c>
      <c r="KJ1" s="2" t="str">
        <f>IF(interventions!$A296&lt;&gt;"",interventions!$A296&amp;"_cost","")</f>
        <v/>
      </c>
    </row>
    <row r="2" spans="1:296" x14ac:dyDescent="0.35">
      <c r="A2" s="2" t="str">
        <f>IF(facility!$A2&lt;&gt;"",facility!$A2,"")</f>
        <v>Mt_Darwin</v>
      </c>
      <c r="B2" s="1">
        <v>3100</v>
      </c>
      <c r="C2" s="1">
        <f>'[1]implementation costs'!$D$2</f>
        <v>700</v>
      </c>
      <c r="D2" s="1">
        <f>'[1]implementation costs'!$F$2</f>
        <v>900</v>
      </c>
      <c r="E2" s="12">
        <f>380*5</f>
        <v>1900</v>
      </c>
      <c r="F2" s="1">
        <v>900</v>
      </c>
      <c r="G2" s="1">
        <v>780</v>
      </c>
      <c r="H2" s="1">
        <f>G2*5</f>
        <v>3900</v>
      </c>
      <c r="I2" s="1">
        <v>7800</v>
      </c>
      <c r="J2" s="1">
        <f>K2/2</f>
        <v>812.5</v>
      </c>
      <c r="K2" s="1">
        <v>1625</v>
      </c>
      <c r="L2" s="1">
        <v>300</v>
      </c>
      <c r="M2" s="1">
        <v>1000</v>
      </c>
    </row>
    <row r="3" spans="1:296" x14ac:dyDescent="0.35">
      <c r="A3" s="2" t="str">
        <f>IF(facility!$A3&lt;&gt;"",facility!$A3,"")</f>
        <v/>
      </c>
      <c r="B3" s="1"/>
      <c r="C3" s="1"/>
      <c r="D3" s="1"/>
    </row>
    <row r="4" spans="1:296" x14ac:dyDescent="0.35">
      <c r="A4" s="2" t="str">
        <f>IF(facility!$A4&lt;&gt;"",facility!$A4,"")</f>
        <v/>
      </c>
      <c r="B4" s="1"/>
      <c r="C4" s="1"/>
      <c r="D4" s="1"/>
    </row>
    <row r="5" spans="1:296" x14ac:dyDescent="0.35">
      <c r="A5" s="2" t="str">
        <f>IF(facility!$A5&lt;&gt;"",facility!$A5,"")</f>
        <v/>
      </c>
      <c r="B5" s="1"/>
      <c r="C5" s="1"/>
      <c r="D5" s="1"/>
    </row>
    <row r="6" spans="1:296" x14ac:dyDescent="0.35">
      <c r="A6" s="2" t="str">
        <f>IF(facility!$A6&lt;&gt;"",facility!$A6,"")</f>
        <v/>
      </c>
      <c r="B6" s="1"/>
      <c r="C6" s="1"/>
      <c r="D6" s="1"/>
    </row>
    <row r="7" spans="1:296" x14ac:dyDescent="0.35">
      <c r="A7" s="2" t="str">
        <f>IF(facility!$A7&lt;&gt;"",facility!$A7,"")</f>
        <v/>
      </c>
      <c r="B7" s="1"/>
      <c r="C7" s="1"/>
      <c r="D7" s="1"/>
    </row>
    <row r="8" spans="1:296" x14ac:dyDescent="0.35">
      <c r="A8" s="2" t="str">
        <f>IF(facility!$A8&lt;&gt;"",facility!$A8,"")</f>
        <v/>
      </c>
      <c r="B8" s="1"/>
      <c r="C8" s="1"/>
      <c r="D8" s="1"/>
    </row>
    <row r="9" spans="1:296" x14ac:dyDescent="0.35">
      <c r="A9" s="2" t="str">
        <f>IF(facility!$A9&lt;&gt;"",facility!$A9,"")</f>
        <v/>
      </c>
      <c r="B9" s="1"/>
      <c r="C9" s="1"/>
      <c r="D9" s="1"/>
    </row>
    <row r="10" spans="1:296" x14ac:dyDescent="0.35">
      <c r="A10" s="2" t="str">
        <f>IF(facility!$A10&lt;&gt;"",facility!$A10,"")</f>
        <v/>
      </c>
      <c r="B10" s="1"/>
    </row>
    <row r="11" spans="1:296" x14ac:dyDescent="0.35">
      <c r="A11" s="2" t="str">
        <f>IF(facility!$A11&lt;&gt;"",facility!$A11,"")</f>
        <v/>
      </c>
      <c r="B11" s="1"/>
    </row>
    <row r="12" spans="1:296" x14ac:dyDescent="0.35">
      <c r="A12" s="2" t="str">
        <f>IF(facility!$A12&lt;&gt;"",facility!$A12,"")</f>
        <v/>
      </c>
      <c r="B12" s="1"/>
    </row>
    <row r="13" spans="1:296" x14ac:dyDescent="0.35">
      <c r="A13" s="2" t="str">
        <f>IF(facility!$A13&lt;&gt;"",facility!$A13,"")</f>
        <v/>
      </c>
      <c r="B13" s="1"/>
    </row>
    <row r="14" spans="1:296" x14ac:dyDescent="0.35">
      <c r="A14" s="2" t="str">
        <f>IF(facility!$A14&lt;&gt;"",facility!$A14,"")</f>
        <v/>
      </c>
      <c r="B14" s="1"/>
    </row>
    <row r="15" spans="1:296" x14ac:dyDescent="0.35">
      <c r="A15" s="2" t="str">
        <f>IF(facility!$A15&lt;&gt;"",facility!$A15,"")</f>
        <v/>
      </c>
      <c r="B15" s="1"/>
    </row>
    <row r="16" spans="1:296" x14ac:dyDescent="0.35">
      <c r="A16" s="2" t="str">
        <f>IF(facility!$A16&lt;&gt;"",facility!$A16,"")</f>
        <v/>
      </c>
      <c r="B16" s="1"/>
    </row>
    <row r="17" spans="1:2" x14ac:dyDescent="0.35">
      <c r="A17" s="2" t="str">
        <f>IF(facility!$A17&lt;&gt;"",facility!$A17,"")</f>
        <v/>
      </c>
      <c r="B17" s="1"/>
    </row>
    <row r="18" spans="1:2" x14ac:dyDescent="0.35">
      <c r="A18" s="2" t="str">
        <f>IF(facility!$A18&lt;&gt;"",facility!$A18,"")</f>
        <v/>
      </c>
      <c r="B18" s="1"/>
    </row>
    <row r="19" spans="1:2" x14ac:dyDescent="0.35">
      <c r="A19" s="2" t="str">
        <f>IF(facility!$A19&lt;&gt;"",facility!$A19,"")</f>
        <v/>
      </c>
      <c r="B19" s="1"/>
    </row>
    <row r="20" spans="1:2" x14ac:dyDescent="0.35">
      <c r="A20" s="2" t="str">
        <f>IF(facility!$A20&lt;&gt;"",facility!$A20,"")</f>
        <v/>
      </c>
      <c r="B20" s="1"/>
    </row>
    <row r="21" spans="1:2" x14ac:dyDescent="0.35">
      <c r="A21" s="2" t="str">
        <f>IF(facility!$A21&lt;&gt;"",facility!$A21,"")</f>
        <v/>
      </c>
      <c r="B21" s="1"/>
    </row>
    <row r="22" spans="1:2" x14ac:dyDescent="0.35">
      <c r="A22" s="2" t="str">
        <f>IF(facility!$A22&lt;&gt;"",facility!$A22,"")</f>
        <v/>
      </c>
      <c r="B22" s="1"/>
    </row>
    <row r="23" spans="1:2" x14ac:dyDescent="0.35">
      <c r="A23" s="2" t="str">
        <f>IF(facility!$A23&lt;&gt;"",facility!$A23,"")</f>
        <v/>
      </c>
      <c r="B23" s="1"/>
    </row>
    <row r="24" spans="1:2" x14ac:dyDescent="0.35">
      <c r="A24" s="2" t="str">
        <f>IF(facility!$A24&lt;&gt;"",facility!$A24,"")</f>
        <v/>
      </c>
      <c r="B24" s="1"/>
    </row>
    <row r="25" spans="1:2" x14ac:dyDescent="0.35">
      <c r="A25" s="2" t="str">
        <f>IF(facility!$A25&lt;&gt;"",facility!$A25,"")</f>
        <v/>
      </c>
      <c r="B25" s="1"/>
    </row>
    <row r="26" spans="1:2" x14ac:dyDescent="0.35">
      <c r="A26" s="2" t="str">
        <f>IF(facility!$A26&lt;&gt;"",facility!$A26,"")</f>
        <v/>
      </c>
      <c r="B26" s="1"/>
    </row>
    <row r="27" spans="1:2" x14ac:dyDescent="0.35">
      <c r="A27" s="2" t="str">
        <f>IF(facility!$A27&lt;&gt;"",facility!$A27,"")</f>
        <v/>
      </c>
      <c r="B27" s="1"/>
    </row>
    <row r="28" spans="1:2" x14ac:dyDescent="0.35">
      <c r="A28" s="2" t="str">
        <f>IF(facility!$A28&lt;&gt;"",facility!$A28,"")</f>
        <v/>
      </c>
      <c r="B28" s="1"/>
    </row>
    <row r="29" spans="1:2" x14ac:dyDescent="0.35">
      <c r="A29" s="2" t="str">
        <f>IF(facility!$A29&lt;&gt;"",facility!$A29,"")</f>
        <v/>
      </c>
      <c r="B29" s="1"/>
    </row>
    <row r="30" spans="1:2" x14ac:dyDescent="0.35">
      <c r="A30" s="2" t="str">
        <f>IF(facility!$A30&lt;&gt;"",facility!$A30,"")</f>
        <v/>
      </c>
      <c r="B30" s="1"/>
    </row>
    <row r="31" spans="1:2" x14ac:dyDescent="0.35">
      <c r="A31" s="2" t="str">
        <f>IF(facility!$A31&lt;&gt;"",facility!$A31,"")</f>
        <v/>
      </c>
      <c r="B31" s="1"/>
    </row>
    <row r="32" spans="1:2" x14ac:dyDescent="0.35">
      <c r="A32" s="2" t="str">
        <f>IF(facility!$A32&lt;&gt;"",facility!$A32,"")</f>
        <v/>
      </c>
      <c r="B32" s="1"/>
    </row>
    <row r="33" spans="1:2" x14ac:dyDescent="0.35">
      <c r="A33" s="2" t="str">
        <f>IF(facility!$A33&lt;&gt;"",facility!$A33,"")</f>
        <v/>
      </c>
      <c r="B33" s="1"/>
    </row>
    <row r="34" spans="1:2" x14ac:dyDescent="0.35">
      <c r="A34" s="2" t="str">
        <f>IF(facility!$A34&lt;&gt;"",facility!$A34,"")</f>
        <v/>
      </c>
      <c r="B34" s="1"/>
    </row>
    <row r="35" spans="1:2" x14ac:dyDescent="0.35">
      <c r="A35" s="2" t="str">
        <f>IF(facility!$A35&lt;&gt;"",facility!$A35,"")</f>
        <v/>
      </c>
      <c r="B35" s="1"/>
    </row>
    <row r="36" spans="1:2" x14ac:dyDescent="0.35">
      <c r="A36" s="2" t="str">
        <f>IF(facility!$A36&lt;&gt;"",facility!$A36,"")</f>
        <v/>
      </c>
      <c r="B36" s="1"/>
    </row>
    <row r="37" spans="1:2" x14ac:dyDescent="0.35">
      <c r="A37" s="2" t="str">
        <f>IF(facility!$A37&lt;&gt;"",facility!$A37,"")</f>
        <v/>
      </c>
      <c r="B37" s="1"/>
    </row>
    <row r="38" spans="1:2" x14ac:dyDescent="0.35">
      <c r="A38" s="2" t="str">
        <f>IF(facility!$A38&lt;&gt;"",facility!$A38,"")</f>
        <v/>
      </c>
      <c r="B38" s="1"/>
    </row>
    <row r="39" spans="1:2" x14ac:dyDescent="0.35">
      <c r="A39" s="2" t="str">
        <f>IF(facility!$A39&lt;&gt;"",facility!$A39,"")</f>
        <v/>
      </c>
      <c r="B39" s="1"/>
    </row>
    <row r="40" spans="1:2" x14ac:dyDescent="0.35">
      <c r="A40" s="2" t="str">
        <f>IF(facility!$A40&lt;&gt;"",facility!$A40,"")</f>
        <v/>
      </c>
      <c r="B40" s="1"/>
    </row>
    <row r="41" spans="1:2" x14ac:dyDescent="0.35">
      <c r="A41" s="2" t="str">
        <f>IF(facility!$A41&lt;&gt;"",facility!$A41,"")</f>
        <v/>
      </c>
      <c r="B41" s="1"/>
    </row>
    <row r="42" spans="1:2" x14ac:dyDescent="0.35">
      <c r="A42" s="2" t="str">
        <f>IF(facility!$A42&lt;&gt;"",facility!$A42,"")</f>
        <v/>
      </c>
      <c r="B42" s="1"/>
    </row>
    <row r="43" spans="1:2" x14ac:dyDescent="0.35">
      <c r="A43" s="2" t="str">
        <f>IF(facility!$A43&lt;&gt;"",facility!$A43,"")</f>
        <v/>
      </c>
      <c r="B43" s="1"/>
    </row>
    <row r="44" spans="1:2" x14ac:dyDescent="0.35">
      <c r="A44" s="2" t="str">
        <f>IF(facility!$A44&lt;&gt;"",facility!$A44,"")</f>
        <v/>
      </c>
      <c r="B44" s="1"/>
    </row>
    <row r="45" spans="1:2" x14ac:dyDescent="0.35">
      <c r="A45" s="2" t="str">
        <f>IF(facility!$A45&lt;&gt;"",facility!$A45,"")</f>
        <v/>
      </c>
      <c r="B45" s="1"/>
    </row>
    <row r="46" spans="1:2" x14ac:dyDescent="0.35">
      <c r="A46" s="2" t="str">
        <f>IF(facility!$A46&lt;&gt;"",facility!$A46,"")</f>
        <v/>
      </c>
      <c r="B46" s="1"/>
    </row>
    <row r="47" spans="1:2" x14ac:dyDescent="0.35">
      <c r="A47" s="2" t="str">
        <f>IF(facility!$A47&lt;&gt;"",facility!$A47,"")</f>
        <v/>
      </c>
      <c r="B47" s="1"/>
    </row>
    <row r="48" spans="1:2" x14ac:dyDescent="0.35">
      <c r="A48" s="2" t="str">
        <f>IF(facility!$A48&lt;&gt;"",facility!$A48,"")</f>
        <v/>
      </c>
      <c r="B48" s="1"/>
    </row>
    <row r="49" spans="1:2" x14ac:dyDescent="0.35">
      <c r="A49" s="2" t="str">
        <f>IF(facility!$A49&lt;&gt;"",facility!$A49,"")</f>
        <v/>
      </c>
      <c r="B49" s="1"/>
    </row>
    <row r="50" spans="1:2" x14ac:dyDescent="0.35">
      <c r="A50" s="2" t="str">
        <f>IF(facility!$A50&lt;&gt;"",facility!$A50,"")</f>
        <v/>
      </c>
      <c r="B50" s="1"/>
    </row>
    <row r="51" spans="1:2" x14ac:dyDescent="0.35">
      <c r="A51" s="2" t="str">
        <f>IF(facility!$A51&lt;&gt;"",facility!$A51,"")</f>
        <v/>
      </c>
      <c r="B51" s="1"/>
    </row>
    <row r="52" spans="1:2" x14ac:dyDescent="0.35">
      <c r="A52" s="2" t="str">
        <f>IF(facility!$A52&lt;&gt;"",facility!$A52,"")</f>
        <v/>
      </c>
      <c r="B52" s="1"/>
    </row>
    <row r="53" spans="1:2" x14ac:dyDescent="0.35">
      <c r="A53" s="2" t="str">
        <f>IF(facility!$A53&lt;&gt;"",facility!$A53,"")</f>
        <v/>
      </c>
      <c r="B53" s="1"/>
    </row>
    <row r="54" spans="1:2" x14ac:dyDescent="0.35">
      <c r="A54" s="2" t="str">
        <f>IF(facility!$A54&lt;&gt;"",facility!$A54,"")</f>
        <v/>
      </c>
      <c r="B54" s="1"/>
    </row>
    <row r="55" spans="1:2" x14ac:dyDescent="0.35">
      <c r="A55" s="2" t="str">
        <f>IF(facility!$A55&lt;&gt;"",facility!$A55,"")</f>
        <v/>
      </c>
      <c r="B55" s="1"/>
    </row>
    <row r="56" spans="1:2" x14ac:dyDescent="0.35">
      <c r="A56" s="2" t="str">
        <f>IF(facility!$A56&lt;&gt;"",facility!$A56,"")</f>
        <v/>
      </c>
      <c r="B56" s="1"/>
    </row>
    <row r="57" spans="1:2" x14ac:dyDescent="0.35">
      <c r="A57" s="2" t="str">
        <f>IF(facility!$A57&lt;&gt;"",facility!$A57,"")</f>
        <v/>
      </c>
      <c r="B57" s="1"/>
    </row>
    <row r="58" spans="1:2" x14ac:dyDescent="0.35">
      <c r="A58" s="2" t="str">
        <f>IF(facility!$A58&lt;&gt;"",facility!$A58,"")</f>
        <v/>
      </c>
      <c r="B58" s="1"/>
    </row>
    <row r="59" spans="1:2" x14ac:dyDescent="0.35">
      <c r="A59" s="2" t="str">
        <f>IF(facility!$A59&lt;&gt;"",facility!$A59,"")</f>
        <v/>
      </c>
      <c r="B59" s="1"/>
    </row>
    <row r="60" spans="1:2" x14ac:dyDescent="0.35">
      <c r="A60" s="2" t="str">
        <f>IF(facility!$A60&lt;&gt;"",facility!$A60,"")</f>
        <v/>
      </c>
      <c r="B60" s="1"/>
    </row>
    <row r="61" spans="1:2" x14ac:dyDescent="0.35">
      <c r="A61" s="2" t="str">
        <f>IF(facility!$A61&lt;&gt;"",facility!$A61,"")</f>
        <v/>
      </c>
      <c r="B61" s="1"/>
    </row>
    <row r="62" spans="1:2" x14ac:dyDescent="0.35">
      <c r="A62" s="2" t="str">
        <f>IF(facility!$A62&lt;&gt;"",facility!$A62,"")</f>
        <v/>
      </c>
      <c r="B62" s="1"/>
    </row>
    <row r="63" spans="1:2" x14ac:dyDescent="0.35">
      <c r="A63" s="2" t="str">
        <f>IF(facility!$A63&lt;&gt;"",facility!$A63,"")</f>
        <v/>
      </c>
      <c r="B63" s="1"/>
    </row>
    <row r="64" spans="1:2" x14ac:dyDescent="0.35">
      <c r="A64" s="2" t="str">
        <f>IF(facility!$A64&lt;&gt;"",facility!$A64,"")</f>
        <v/>
      </c>
      <c r="B64" s="1"/>
    </row>
    <row r="65" spans="1:2" x14ac:dyDescent="0.35">
      <c r="A65" s="2" t="str">
        <f>IF(facility!$A65&lt;&gt;"",facility!$A65,"")</f>
        <v/>
      </c>
      <c r="B65" s="1"/>
    </row>
    <row r="66" spans="1:2" x14ac:dyDescent="0.35">
      <c r="A66" s="2" t="str">
        <f>IF(facility!$A66&lt;&gt;"",facility!$A66,"")</f>
        <v/>
      </c>
      <c r="B66" s="1"/>
    </row>
    <row r="67" spans="1:2" x14ac:dyDescent="0.35">
      <c r="A67" s="2" t="str">
        <f>IF(facility!$A67&lt;&gt;"",facility!$A67,"")</f>
        <v/>
      </c>
      <c r="B67" s="1"/>
    </row>
    <row r="68" spans="1:2" x14ac:dyDescent="0.35">
      <c r="A68" s="2" t="str">
        <f>IF(facility!$A68&lt;&gt;"",facility!$A68,"")</f>
        <v/>
      </c>
      <c r="B68" s="1"/>
    </row>
    <row r="69" spans="1:2" x14ac:dyDescent="0.35">
      <c r="A69" s="2" t="str">
        <f>IF(facility!$A69&lt;&gt;"",facility!$A69,"")</f>
        <v/>
      </c>
      <c r="B69" s="1"/>
    </row>
    <row r="70" spans="1:2" x14ac:dyDescent="0.35">
      <c r="A70" s="2" t="str">
        <f>IF(facility!$A70&lt;&gt;"",facility!$A70,"")</f>
        <v/>
      </c>
      <c r="B70" s="1"/>
    </row>
    <row r="71" spans="1:2" x14ac:dyDescent="0.35">
      <c r="A71" s="2" t="str">
        <f>IF(facility!$A71&lt;&gt;"",facility!$A71,"")</f>
        <v/>
      </c>
      <c r="B71" s="1"/>
    </row>
    <row r="72" spans="1:2" x14ac:dyDescent="0.35">
      <c r="A72" s="2" t="str">
        <f>IF(facility!$A72&lt;&gt;"",facility!$A72,"")</f>
        <v/>
      </c>
      <c r="B72" s="1"/>
    </row>
    <row r="73" spans="1:2" x14ac:dyDescent="0.35">
      <c r="A73" s="2" t="str">
        <f>IF(facility!$A73&lt;&gt;"",facility!$A73,"")</f>
        <v/>
      </c>
      <c r="B73" s="1"/>
    </row>
    <row r="74" spans="1:2" x14ac:dyDescent="0.35">
      <c r="A74" s="2" t="str">
        <f>IF(facility!$A74&lt;&gt;"",facility!$A74,"")</f>
        <v/>
      </c>
      <c r="B74" s="1"/>
    </row>
    <row r="75" spans="1:2" x14ac:dyDescent="0.35">
      <c r="A75" s="2" t="str">
        <f>IF(facility!$A75&lt;&gt;"",facility!$A75,"")</f>
        <v/>
      </c>
      <c r="B75" s="1"/>
    </row>
    <row r="76" spans="1:2" x14ac:dyDescent="0.35">
      <c r="A76" s="2" t="str">
        <f>IF(facility!$A76&lt;&gt;"",facility!$A76,"")</f>
        <v/>
      </c>
      <c r="B76" s="1"/>
    </row>
    <row r="77" spans="1:2" x14ac:dyDescent="0.35">
      <c r="A77" s="2" t="str">
        <f>IF(facility!$A77&lt;&gt;"",facility!$A77,"")</f>
        <v/>
      </c>
      <c r="B77" s="1"/>
    </row>
    <row r="78" spans="1:2" x14ac:dyDescent="0.35">
      <c r="A78" s="2" t="str">
        <f>IF(facility!$A78&lt;&gt;"",facility!$A78,"")</f>
        <v/>
      </c>
      <c r="B78" s="1"/>
    </row>
    <row r="79" spans="1:2" x14ac:dyDescent="0.35">
      <c r="A79" s="2" t="str">
        <f>IF(facility!$A79&lt;&gt;"",facility!$A79,"")</f>
        <v/>
      </c>
      <c r="B79" s="1"/>
    </row>
    <row r="80" spans="1:2" x14ac:dyDescent="0.35">
      <c r="A80" s="2" t="str">
        <f>IF(facility!$A80&lt;&gt;"",facility!$A80,"")</f>
        <v/>
      </c>
      <c r="B80" s="1"/>
    </row>
    <row r="81" spans="1:2" x14ac:dyDescent="0.35">
      <c r="A81" s="2" t="str">
        <f>IF(facility!$A81&lt;&gt;"",facility!$A81,"")</f>
        <v/>
      </c>
      <c r="B81" s="1"/>
    </row>
    <row r="82" spans="1:2" x14ac:dyDescent="0.35">
      <c r="A82" s="2" t="str">
        <f>IF(facility!$A82&lt;&gt;"",facility!$A82,"")</f>
        <v/>
      </c>
      <c r="B82" s="1"/>
    </row>
    <row r="83" spans="1:2" x14ac:dyDescent="0.35">
      <c r="A83" s="2" t="str">
        <f>IF(facility!$A83&lt;&gt;"",facility!$A83,"")</f>
        <v/>
      </c>
      <c r="B83" s="1"/>
    </row>
    <row r="84" spans="1:2" x14ac:dyDescent="0.35">
      <c r="A84" s="2" t="str">
        <f>IF(facility!$A84&lt;&gt;"",facility!$A84,"")</f>
        <v/>
      </c>
      <c r="B84" s="1"/>
    </row>
    <row r="85" spans="1:2" x14ac:dyDescent="0.35">
      <c r="A85" s="2" t="str">
        <f>IF(facility!$A85&lt;&gt;"",facility!$A85,"")</f>
        <v/>
      </c>
      <c r="B85" s="1"/>
    </row>
    <row r="86" spans="1:2" x14ac:dyDescent="0.35">
      <c r="A86" s="2" t="str">
        <f>IF(facility!$A86&lt;&gt;"",facility!$A86,"")</f>
        <v/>
      </c>
      <c r="B86" s="1"/>
    </row>
    <row r="87" spans="1:2" x14ac:dyDescent="0.35">
      <c r="A87" s="2" t="str">
        <f>IF(facility!$A87&lt;&gt;"",facility!$A87,"")</f>
        <v/>
      </c>
      <c r="B87" s="1"/>
    </row>
    <row r="88" spans="1:2" x14ac:dyDescent="0.35">
      <c r="A88" s="2" t="str">
        <f>IF(facility!$A88&lt;&gt;"",facility!$A88,"")</f>
        <v/>
      </c>
      <c r="B88" s="1"/>
    </row>
    <row r="89" spans="1:2" x14ac:dyDescent="0.35">
      <c r="A89" s="2" t="str">
        <f>IF(facility!$A89&lt;&gt;"",facility!$A89,"")</f>
        <v/>
      </c>
      <c r="B89" s="1"/>
    </row>
    <row r="90" spans="1:2" x14ac:dyDescent="0.35">
      <c r="A90" s="2" t="str">
        <f>IF(facility!$A90&lt;&gt;"",facility!$A90,"")</f>
        <v/>
      </c>
      <c r="B90" s="1"/>
    </row>
    <row r="91" spans="1:2" x14ac:dyDescent="0.35">
      <c r="A91" s="2" t="str">
        <f>IF(facility!$A91&lt;&gt;"",facility!$A91,"")</f>
        <v/>
      </c>
      <c r="B91" s="1"/>
    </row>
    <row r="92" spans="1:2" x14ac:dyDescent="0.35">
      <c r="A92" s="2" t="str">
        <f>IF(facility!$A92&lt;&gt;"",facility!$A92,"")</f>
        <v/>
      </c>
      <c r="B92" s="1"/>
    </row>
    <row r="93" spans="1:2" x14ac:dyDescent="0.35">
      <c r="A93" s="2" t="str">
        <f>IF(facility!$A93&lt;&gt;"",facility!$A93,"")</f>
        <v/>
      </c>
      <c r="B93" s="1"/>
    </row>
    <row r="94" spans="1:2" x14ac:dyDescent="0.35">
      <c r="A94" s="2" t="str">
        <f>IF(facility!$A94&lt;&gt;"",facility!$A94,"")</f>
        <v/>
      </c>
      <c r="B94" s="1"/>
    </row>
    <row r="95" spans="1:2" x14ac:dyDescent="0.35">
      <c r="A95" s="2" t="str">
        <f>IF(facility!$A95&lt;&gt;"",facility!$A95,"")</f>
        <v/>
      </c>
      <c r="B95" s="1"/>
    </row>
    <row r="96" spans="1:2" x14ac:dyDescent="0.35">
      <c r="A96" s="2" t="str">
        <f>IF(facility!$A96&lt;&gt;"",facility!$A96,"")</f>
        <v/>
      </c>
      <c r="B96" s="1"/>
    </row>
    <row r="97" spans="1:2" x14ac:dyDescent="0.35">
      <c r="A97" s="2" t="str">
        <f>IF(facility!$A97&lt;&gt;"",facility!$A97,"")</f>
        <v/>
      </c>
      <c r="B97" s="1"/>
    </row>
    <row r="98" spans="1:2" x14ac:dyDescent="0.35">
      <c r="A98" s="2" t="str">
        <f>IF(facility!$A98&lt;&gt;"",facility!$A98,"")</f>
        <v/>
      </c>
      <c r="B98" s="1"/>
    </row>
    <row r="99" spans="1:2" x14ac:dyDescent="0.35">
      <c r="A99" s="2" t="str">
        <f>IF(facility!$A99&lt;&gt;"",facility!$A99,"")</f>
        <v/>
      </c>
      <c r="B99" s="1"/>
    </row>
    <row r="100" spans="1:2" x14ac:dyDescent="0.35">
      <c r="A100" s="2" t="str">
        <f>IF(facility!$A100&lt;&gt;"",facility!$A100,"")</f>
        <v/>
      </c>
      <c r="B100" s="1"/>
    </row>
    <row r="101" spans="1:2" x14ac:dyDescent="0.35">
      <c r="A101" s="2" t="str">
        <f>IF(facility!$A101&lt;&gt;"",facility!$A101,"")</f>
        <v/>
      </c>
      <c r="B101" s="1"/>
    </row>
    <row r="102" spans="1:2" x14ac:dyDescent="0.35">
      <c r="A102" s="2" t="str">
        <f>IF(facility!$A102&lt;&gt;"",facility!$A102,"")</f>
        <v/>
      </c>
      <c r="B102" s="1"/>
    </row>
    <row r="103" spans="1:2" x14ac:dyDescent="0.35">
      <c r="A103" s="2" t="str">
        <f>IF(facility!$A103&lt;&gt;"",facility!$A103,"")</f>
        <v/>
      </c>
      <c r="B103" s="1"/>
    </row>
    <row r="104" spans="1:2" x14ac:dyDescent="0.35">
      <c r="A104" s="2" t="str">
        <f>IF(facility!$A104&lt;&gt;"",facility!$A104,"")</f>
        <v/>
      </c>
      <c r="B104" s="1"/>
    </row>
    <row r="105" spans="1:2" x14ac:dyDescent="0.35">
      <c r="A105" s="2" t="str">
        <f>IF(facility!$A105&lt;&gt;"",facility!$A105,"")</f>
        <v/>
      </c>
      <c r="B105" s="1"/>
    </row>
    <row r="106" spans="1:2" x14ac:dyDescent="0.35">
      <c r="A106" s="2" t="str">
        <f>IF(facility!$A106&lt;&gt;"",facility!$A106,"")</f>
        <v/>
      </c>
      <c r="B106" s="1"/>
    </row>
    <row r="107" spans="1:2" x14ac:dyDescent="0.35">
      <c r="A107" s="2" t="str">
        <f>IF(facility!$A107&lt;&gt;"",facility!$A107,"")</f>
        <v/>
      </c>
      <c r="B107" s="1"/>
    </row>
    <row r="108" spans="1:2" x14ac:dyDescent="0.35">
      <c r="A108" s="2" t="str">
        <f>IF(facility!$A108&lt;&gt;"",facility!$A108,"")</f>
        <v/>
      </c>
      <c r="B108" s="1"/>
    </row>
    <row r="109" spans="1:2" x14ac:dyDescent="0.35">
      <c r="A109" s="2" t="str">
        <f>IF(facility!$A109&lt;&gt;"",facility!$A109,"")</f>
        <v/>
      </c>
      <c r="B109" s="1"/>
    </row>
    <row r="110" spans="1:2" x14ac:dyDescent="0.35">
      <c r="A110" s="2" t="str">
        <f>IF(facility!$A110&lt;&gt;"",facility!$A110,"")</f>
        <v/>
      </c>
      <c r="B110" s="1"/>
    </row>
    <row r="111" spans="1:2" x14ac:dyDescent="0.35">
      <c r="A111" s="2" t="str">
        <f>IF(facility!$A111&lt;&gt;"",facility!$A111,"")</f>
        <v/>
      </c>
      <c r="B111" s="1"/>
    </row>
    <row r="112" spans="1:2" x14ac:dyDescent="0.35">
      <c r="A112" s="2" t="str">
        <f>IF(facility!$A112&lt;&gt;"",facility!$A112,"")</f>
        <v/>
      </c>
      <c r="B112" s="1"/>
    </row>
    <row r="113" spans="1:2" x14ac:dyDescent="0.35">
      <c r="A113" s="2" t="str">
        <f>IF(facility!$A113&lt;&gt;"",facility!$A113,"")</f>
        <v/>
      </c>
      <c r="B113" s="1"/>
    </row>
    <row r="114" spans="1:2" x14ac:dyDescent="0.35">
      <c r="A114" s="2" t="str">
        <f>IF(facility!$A114&lt;&gt;"",facility!$A114,"")</f>
        <v/>
      </c>
      <c r="B114" s="1"/>
    </row>
    <row r="115" spans="1:2" x14ac:dyDescent="0.35">
      <c r="A115" s="2" t="str">
        <f>IF(facility!$A115&lt;&gt;"",facility!$A115,"")</f>
        <v/>
      </c>
      <c r="B115" s="1"/>
    </row>
    <row r="116" spans="1:2" x14ac:dyDescent="0.35">
      <c r="A116" s="2" t="str">
        <f>IF(facility!$A116&lt;&gt;"",facility!$A116,"")</f>
        <v/>
      </c>
      <c r="B116" s="1"/>
    </row>
    <row r="117" spans="1:2" x14ac:dyDescent="0.35">
      <c r="A117" s="2" t="str">
        <f>IF(facility!$A117&lt;&gt;"",facility!$A117,"")</f>
        <v/>
      </c>
      <c r="B117" s="1"/>
    </row>
    <row r="118" spans="1:2" x14ac:dyDescent="0.35">
      <c r="A118" s="2" t="str">
        <f>IF(facility!$A118&lt;&gt;"",facility!$A118,"")</f>
        <v/>
      </c>
      <c r="B118" s="1"/>
    </row>
    <row r="119" spans="1:2" x14ac:dyDescent="0.35">
      <c r="A119" s="2" t="str">
        <f>IF(facility!$A119&lt;&gt;"",facility!$A119,"")</f>
        <v/>
      </c>
      <c r="B119" s="1"/>
    </row>
    <row r="120" spans="1:2" x14ac:dyDescent="0.35">
      <c r="A120" s="2" t="str">
        <f>IF(facility!$A120&lt;&gt;"",facility!$A120,"")</f>
        <v/>
      </c>
      <c r="B120" s="1"/>
    </row>
    <row r="121" spans="1:2" x14ac:dyDescent="0.35">
      <c r="A121" s="2" t="str">
        <f>IF(facility!$A121&lt;&gt;"",facility!$A121,"")</f>
        <v/>
      </c>
      <c r="B121" s="1"/>
    </row>
    <row r="122" spans="1:2" x14ac:dyDescent="0.35">
      <c r="A122" s="2" t="str">
        <f>IF(facility!$A122&lt;&gt;"",facility!$A122,"")</f>
        <v/>
      </c>
      <c r="B122" s="1"/>
    </row>
    <row r="123" spans="1:2" x14ac:dyDescent="0.35">
      <c r="A123" s="2" t="str">
        <f>IF(facility!$A123&lt;&gt;"",facility!$A123,"")</f>
        <v/>
      </c>
      <c r="B123" s="1"/>
    </row>
    <row r="124" spans="1:2" x14ac:dyDescent="0.35">
      <c r="A124" s="2" t="str">
        <f>IF(facility!$A124&lt;&gt;"",facility!$A124,"")</f>
        <v/>
      </c>
      <c r="B124" s="1"/>
    </row>
    <row r="125" spans="1:2" x14ac:dyDescent="0.35">
      <c r="A125" s="2" t="str">
        <f>IF(facility!$A125&lt;&gt;"",facility!$A125,"")</f>
        <v/>
      </c>
      <c r="B125" s="1"/>
    </row>
    <row r="126" spans="1:2" x14ac:dyDescent="0.35">
      <c r="A126" s="2" t="str">
        <f>IF(facility!$A126&lt;&gt;"",facility!$A126,"")</f>
        <v/>
      </c>
      <c r="B126" s="1"/>
    </row>
    <row r="127" spans="1:2" x14ac:dyDescent="0.35">
      <c r="A127" s="2" t="str">
        <f>IF(facility!$A127&lt;&gt;"",facility!$A127,"")</f>
        <v/>
      </c>
      <c r="B127" s="1"/>
    </row>
    <row r="128" spans="1:2" x14ac:dyDescent="0.35">
      <c r="A128" s="2" t="str">
        <f>IF(facility!$A128&lt;&gt;"",facility!$A128,"")</f>
        <v/>
      </c>
      <c r="B128" s="1"/>
    </row>
    <row r="129" spans="1:2" x14ac:dyDescent="0.35">
      <c r="A129" s="2" t="str">
        <f>IF(facility!$A129&lt;&gt;"",facility!$A129,"")</f>
        <v/>
      </c>
      <c r="B129" s="1"/>
    </row>
    <row r="130" spans="1:2" x14ac:dyDescent="0.35">
      <c r="A130" s="2" t="str">
        <f>IF(facility!$A130&lt;&gt;"",facility!$A130,"")</f>
        <v/>
      </c>
      <c r="B130" s="1"/>
    </row>
    <row r="131" spans="1:2" x14ac:dyDescent="0.35">
      <c r="A131" s="2" t="str">
        <f>IF(facility!$A131&lt;&gt;"",facility!$A131,"")</f>
        <v/>
      </c>
      <c r="B131" s="1"/>
    </row>
    <row r="132" spans="1:2" x14ac:dyDescent="0.35">
      <c r="A132" s="2" t="str">
        <f>IF(facility!$A132&lt;&gt;"",facility!$A132,"")</f>
        <v/>
      </c>
      <c r="B132" s="1"/>
    </row>
    <row r="133" spans="1:2" x14ac:dyDescent="0.35">
      <c r="A133" s="2" t="str">
        <f>IF(facility!$A133&lt;&gt;"",facility!$A133,"")</f>
        <v/>
      </c>
      <c r="B133" s="1"/>
    </row>
    <row r="134" spans="1:2" x14ac:dyDescent="0.35">
      <c r="A134" s="2" t="str">
        <f>IF(facility!$A134&lt;&gt;"",facility!$A134,"")</f>
        <v/>
      </c>
      <c r="B134" s="1"/>
    </row>
    <row r="135" spans="1:2" x14ac:dyDescent="0.35">
      <c r="A135" s="2" t="str">
        <f>IF(facility!$A135&lt;&gt;"",facility!$A135,"")</f>
        <v/>
      </c>
      <c r="B135" s="1"/>
    </row>
    <row r="136" spans="1:2" x14ac:dyDescent="0.35">
      <c r="A136" s="2" t="str">
        <f>IF(facility!$A136&lt;&gt;"",facility!$A136,"")</f>
        <v/>
      </c>
      <c r="B136" s="1"/>
    </row>
    <row r="137" spans="1:2" x14ac:dyDescent="0.35">
      <c r="A137" s="2" t="str">
        <f>IF(facility!$A137&lt;&gt;"",facility!$A137,"")</f>
        <v/>
      </c>
      <c r="B137" s="1"/>
    </row>
    <row r="138" spans="1:2" x14ac:dyDescent="0.35">
      <c r="A138" s="2" t="str">
        <f>IF(facility!$A138&lt;&gt;"",facility!$A138,"")</f>
        <v/>
      </c>
      <c r="B138" s="1"/>
    </row>
    <row r="139" spans="1:2" x14ac:dyDescent="0.35">
      <c r="A139" s="2" t="str">
        <f>IF(facility!$A139&lt;&gt;"",facility!$A139,"")</f>
        <v/>
      </c>
      <c r="B139" s="1"/>
    </row>
    <row r="140" spans="1:2" x14ac:dyDescent="0.35">
      <c r="A140" s="2" t="str">
        <f>IF(facility!$A140&lt;&gt;"",facility!$A140,"")</f>
        <v/>
      </c>
      <c r="B140" s="1"/>
    </row>
    <row r="141" spans="1:2" x14ac:dyDescent="0.35">
      <c r="A141" s="2" t="str">
        <f>IF(facility!$A141&lt;&gt;"",facility!$A141,"")</f>
        <v/>
      </c>
      <c r="B141" s="1"/>
    </row>
    <row r="142" spans="1:2" x14ac:dyDescent="0.35">
      <c r="A142" s="2" t="str">
        <f>IF(facility!$A142&lt;&gt;"",facility!$A142,"")</f>
        <v/>
      </c>
      <c r="B142" s="1"/>
    </row>
    <row r="143" spans="1:2" x14ac:dyDescent="0.35">
      <c r="A143" s="2" t="str">
        <f>IF(facility!$A143&lt;&gt;"",facility!$A143,"")</f>
        <v/>
      </c>
      <c r="B143" s="1"/>
    </row>
    <row r="144" spans="1:2" x14ac:dyDescent="0.35">
      <c r="A144" s="2" t="str">
        <f>IF(facility!$A144&lt;&gt;"",facility!$A144,"")</f>
        <v/>
      </c>
      <c r="B144" s="1"/>
    </row>
    <row r="145" spans="1:2" x14ac:dyDescent="0.35">
      <c r="A145" s="2" t="str">
        <f>IF(facility!$A145&lt;&gt;"",facility!$A145,"")</f>
        <v/>
      </c>
      <c r="B145" s="1"/>
    </row>
    <row r="146" spans="1:2" x14ac:dyDescent="0.35">
      <c r="A146" s="2" t="str">
        <f>IF(facility!$A146&lt;&gt;"",facility!$A146,"")</f>
        <v/>
      </c>
      <c r="B146" s="1"/>
    </row>
    <row r="147" spans="1:2" x14ac:dyDescent="0.35">
      <c r="A147" s="2" t="str">
        <f>IF(facility!$A147&lt;&gt;"",facility!$A147,"")</f>
        <v/>
      </c>
      <c r="B147" s="1"/>
    </row>
    <row r="148" spans="1:2" x14ac:dyDescent="0.35">
      <c r="A148" s="2" t="str">
        <f>IF(facility!$A148&lt;&gt;"",facility!$A148,"")</f>
        <v/>
      </c>
      <c r="B148" s="1"/>
    </row>
    <row r="149" spans="1:2" x14ac:dyDescent="0.35">
      <c r="A149" s="2" t="str">
        <f>IF(facility!$A149&lt;&gt;"",facility!$A149,"")</f>
        <v/>
      </c>
      <c r="B149" s="1"/>
    </row>
    <row r="150" spans="1:2" x14ac:dyDescent="0.35">
      <c r="A150" s="2" t="str">
        <f>IF(facility!$A150&lt;&gt;"",facility!$A150,"")</f>
        <v/>
      </c>
      <c r="B150" s="1"/>
    </row>
    <row r="151" spans="1:2" x14ac:dyDescent="0.35">
      <c r="A151" s="2" t="str">
        <f>IF(facility!$A151&lt;&gt;"",facility!$A151,"")</f>
        <v/>
      </c>
      <c r="B151" s="1"/>
    </row>
    <row r="152" spans="1:2" x14ac:dyDescent="0.35">
      <c r="A152" s="2" t="str">
        <f>IF(facility!$A152&lt;&gt;"",facility!$A152,"")</f>
        <v/>
      </c>
      <c r="B152" s="1"/>
    </row>
    <row r="153" spans="1:2" x14ac:dyDescent="0.35">
      <c r="A153" s="2" t="str">
        <f>IF(facility!$A153&lt;&gt;"",facility!$A153,"")</f>
        <v/>
      </c>
      <c r="B153" s="1"/>
    </row>
    <row r="154" spans="1:2" x14ac:dyDescent="0.35">
      <c r="A154" s="2" t="str">
        <f>IF(facility!$A154&lt;&gt;"",facility!$A154,"")</f>
        <v/>
      </c>
      <c r="B154" s="1"/>
    </row>
    <row r="155" spans="1:2" x14ac:dyDescent="0.35">
      <c r="A155" s="2" t="str">
        <f>IF(facility!$A155&lt;&gt;"",facility!$A155,"")</f>
        <v/>
      </c>
      <c r="B155" s="1"/>
    </row>
    <row r="156" spans="1:2" x14ac:dyDescent="0.35">
      <c r="A156" s="2" t="str">
        <f>IF(facility!$A156&lt;&gt;"",facility!$A156,"")</f>
        <v/>
      </c>
      <c r="B156" s="1"/>
    </row>
    <row r="157" spans="1:2" x14ac:dyDescent="0.35">
      <c r="A157" s="2" t="str">
        <f>IF(facility!$A157&lt;&gt;"",facility!$A157,"")</f>
        <v/>
      </c>
      <c r="B157" s="1"/>
    </row>
    <row r="158" spans="1:2" x14ac:dyDescent="0.35">
      <c r="A158" s="2" t="str">
        <f>IF(facility!$A158&lt;&gt;"",facility!$A158,"")</f>
        <v/>
      </c>
      <c r="B158" s="1"/>
    </row>
    <row r="159" spans="1:2" x14ac:dyDescent="0.35">
      <c r="A159" s="2" t="str">
        <f>IF(facility!$A159&lt;&gt;"",facility!$A159,"")</f>
        <v/>
      </c>
      <c r="B159" s="1"/>
    </row>
    <row r="160" spans="1:2" x14ac:dyDescent="0.35">
      <c r="A160" s="2" t="str">
        <f>IF(facility!$A160&lt;&gt;"",facility!$A160,"")</f>
        <v/>
      </c>
      <c r="B160" s="1"/>
    </row>
    <row r="161" spans="1:2" x14ac:dyDescent="0.35">
      <c r="A161" s="2" t="str">
        <f>IF(facility!$A161&lt;&gt;"",facility!$A161,"")</f>
        <v/>
      </c>
      <c r="B161" s="1"/>
    </row>
    <row r="162" spans="1:2" x14ac:dyDescent="0.35">
      <c r="A162" s="2" t="str">
        <f>IF(facility!$A162&lt;&gt;"",facility!$A162,"")</f>
        <v/>
      </c>
      <c r="B162" s="1"/>
    </row>
    <row r="163" spans="1:2" x14ac:dyDescent="0.35">
      <c r="A163" s="2" t="str">
        <f>IF(facility!$A163&lt;&gt;"",facility!$A163,"")</f>
        <v/>
      </c>
      <c r="B163" s="1"/>
    </row>
    <row r="164" spans="1:2" x14ac:dyDescent="0.35">
      <c r="A164" s="2" t="str">
        <f>IF(facility!$A164&lt;&gt;"",facility!$A164,"")</f>
        <v/>
      </c>
      <c r="B164" s="1"/>
    </row>
    <row r="165" spans="1:2" x14ac:dyDescent="0.35">
      <c r="A165" s="2" t="str">
        <f>IF(facility!$A165&lt;&gt;"",facility!$A165,"")</f>
        <v/>
      </c>
      <c r="B165" s="1"/>
    </row>
    <row r="166" spans="1:2" x14ac:dyDescent="0.35">
      <c r="A166" s="2" t="str">
        <f>IF(facility!$A166&lt;&gt;"",facility!$A166,"")</f>
        <v/>
      </c>
      <c r="B166" s="1"/>
    </row>
    <row r="167" spans="1:2" x14ac:dyDescent="0.35">
      <c r="A167" s="2" t="str">
        <f>IF(facility!$A167&lt;&gt;"",facility!$A167,"")</f>
        <v/>
      </c>
      <c r="B167" s="1"/>
    </row>
    <row r="168" spans="1:2" x14ac:dyDescent="0.35">
      <c r="A168" s="2" t="str">
        <f>IF(facility!$A168&lt;&gt;"",facility!$A168,"")</f>
        <v/>
      </c>
      <c r="B168" s="1"/>
    </row>
    <row r="169" spans="1:2" x14ac:dyDescent="0.35">
      <c r="A169" s="2" t="str">
        <f>IF(facility!$A169&lt;&gt;"",facility!$A169,"")</f>
        <v/>
      </c>
      <c r="B169" s="1"/>
    </row>
    <row r="170" spans="1:2" x14ac:dyDescent="0.35">
      <c r="A170" s="2" t="str">
        <f>IF(facility!$A170&lt;&gt;"",facility!$A170,"")</f>
        <v/>
      </c>
      <c r="B170" s="1"/>
    </row>
    <row r="171" spans="1:2" x14ac:dyDescent="0.35">
      <c r="A171" s="2" t="str">
        <f>IF(facility!$A171&lt;&gt;"",facility!$A171,"")</f>
        <v/>
      </c>
      <c r="B171" s="1"/>
    </row>
    <row r="172" spans="1:2" x14ac:dyDescent="0.35">
      <c r="A172" s="2" t="str">
        <f>IF(facility!$A172&lt;&gt;"",facility!$A172,"")</f>
        <v/>
      </c>
      <c r="B172" s="1"/>
    </row>
    <row r="173" spans="1:2" x14ac:dyDescent="0.35">
      <c r="A173" s="2" t="str">
        <f>IF(facility!$A173&lt;&gt;"",facility!$A173,"")</f>
        <v/>
      </c>
      <c r="B173" s="1"/>
    </row>
    <row r="174" spans="1:2" x14ac:dyDescent="0.35">
      <c r="A174" s="2" t="str">
        <f>IF(facility!$A174&lt;&gt;"",facility!$A174,"")</f>
        <v/>
      </c>
      <c r="B174" s="1"/>
    </row>
    <row r="175" spans="1:2" x14ac:dyDescent="0.35">
      <c r="A175" s="2" t="str">
        <f>IF(facility!$A175&lt;&gt;"",facility!$A175,"")</f>
        <v/>
      </c>
      <c r="B175" s="1"/>
    </row>
    <row r="176" spans="1:2" x14ac:dyDescent="0.35">
      <c r="A176" s="2" t="str">
        <f>IF(facility!$A176&lt;&gt;"",facility!$A176,"")</f>
        <v/>
      </c>
      <c r="B176" s="1"/>
    </row>
    <row r="177" spans="1:2" x14ac:dyDescent="0.35">
      <c r="A177" s="2" t="str">
        <f>IF(facility!$A177&lt;&gt;"",facility!$A177,"")</f>
        <v/>
      </c>
      <c r="B177" s="1"/>
    </row>
    <row r="178" spans="1:2" x14ac:dyDescent="0.35">
      <c r="A178" s="2" t="str">
        <f>IF(facility!$A178&lt;&gt;"",facility!$A178,"")</f>
        <v/>
      </c>
      <c r="B178" s="1"/>
    </row>
    <row r="179" spans="1:2" x14ac:dyDescent="0.35">
      <c r="A179" s="2" t="str">
        <f>IF(facility!$A179&lt;&gt;"",facility!$A179,"")</f>
        <v/>
      </c>
      <c r="B179" s="1"/>
    </row>
    <row r="180" spans="1:2" x14ac:dyDescent="0.35">
      <c r="A180" s="2" t="str">
        <f>IF(facility!$A180&lt;&gt;"",facility!$A180,"")</f>
        <v/>
      </c>
      <c r="B180" s="1"/>
    </row>
    <row r="181" spans="1:2" x14ac:dyDescent="0.35">
      <c r="A181" s="2" t="str">
        <f>IF(facility!$A181&lt;&gt;"",facility!$A181,"")</f>
        <v/>
      </c>
      <c r="B181" s="1"/>
    </row>
    <row r="182" spans="1:2" x14ac:dyDescent="0.35">
      <c r="A182" s="2" t="str">
        <f>IF(facility!$A182&lt;&gt;"",facility!$A182,"")</f>
        <v/>
      </c>
      <c r="B182" s="1"/>
    </row>
    <row r="183" spans="1:2" x14ac:dyDescent="0.35">
      <c r="A183" s="2" t="str">
        <f>IF(facility!$A183&lt;&gt;"",facility!$A183,"")</f>
        <v/>
      </c>
      <c r="B183" s="1"/>
    </row>
    <row r="184" spans="1:2" x14ac:dyDescent="0.35">
      <c r="A184" s="2" t="str">
        <f>IF(facility!$A184&lt;&gt;"",facility!$A184,"")</f>
        <v/>
      </c>
      <c r="B184" s="1"/>
    </row>
    <row r="185" spans="1:2" x14ac:dyDescent="0.35">
      <c r="A185" s="2" t="str">
        <f>IF(facility!$A185&lt;&gt;"",facility!$A185,"")</f>
        <v/>
      </c>
      <c r="B185" s="1"/>
    </row>
    <row r="186" spans="1:2" x14ac:dyDescent="0.35">
      <c r="A186" s="2" t="str">
        <f>IF(facility!$A186&lt;&gt;"",facility!$A186,"")</f>
        <v/>
      </c>
      <c r="B186" s="1"/>
    </row>
    <row r="187" spans="1:2" x14ac:dyDescent="0.35">
      <c r="A187" s="2" t="str">
        <f>IF(facility!$A187&lt;&gt;"",facility!$A187,"")</f>
        <v/>
      </c>
      <c r="B187" s="1"/>
    </row>
    <row r="188" spans="1:2" x14ac:dyDescent="0.35">
      <c r="A188" s="2" t="str">
        <f>IF(facility!$A188&lt;&gt;"",facility!$A188,"")</f>
        <v/>
      </c>
      <c r="B188" s="1"/>
    </row>
    <row r="189" spans="1:2" x14ac:dyDescent="0.35">
      <c r="A189" s="2" t="str">
        <f>IF(facility!$A189&lt;&gt;"",facility!$A189,"")</f>
        <v/>
      </c>
      <c r="B189" s="1"/>
    </row>
    <row r="190" spans="1:2" x14ac:dyDescent="0.35">
      <c r="A190" s="2" t="str">
        <f>IF(facility!$A190&lt;&gt;"",facility!$A190,"")</f>
        <v/>
      </c>
      <c r="B190" s="1"/>
    </row>
    <row r="191" spans="1:2" x14ac:dyDescent="0.35">
      <c r="A191" s="2" t="str">
        <f>IF(facility!$A191&lt;&gt;"",facility!$A191,"")</f>
        <v/>
      </c>
      <c r="B191" s="1"/>
    </row>
    <row r="192" spans="1:2" x14ac:dyDescent="0.35">
      <c r="A192" s="2" t="str">
        <f>IF(facility!$A192&lt;&gt;"",facility!$A192,"")</f>
        <v/>
      </c>
      <c r="B192" s="1"/>
    </row>
    <row r="193" spans="1:2" x14ac:dyDescent="0.35">
      <c r="A193" s="2" t="str">
        <f>IF(facility!$A193&lt;&gt;"",facility!$A193,"")</f>
        <v/>
      </c>
      <c r="B193" s="1"/>
    </row>
    <row r="194" spans="1:2" x14ac:dyDescent="0.35">
      <c r="A194" s="2" t="str">
        <f>IF(facility!$A194&lt;&gt;"",facility!$A194,"")</f>
        <v/>
      </c>
      <c r="B194" s="1"/>
    </row>
    <row r="195" spans="1:2" x14ac:dyDescent="0.35">
      <c r="A195" s="2" t="str">
        <f>IF(facility!$A195&lt;&gt;"",facility!$A195,"")</f>
        <v/>
      </c>
      <c r="B195" s="1"/>
    </row>
    <row r="196" spans="1:2" x14ac:dyDescent="0.35">
      <c r="A196" s="2" t="str">
        <f>IF(facility!$A196&lt;&gt;"",facility!$A196,"")</f>
        <v/>
      </c>
      <c r="B196" s="1"/>
    </row>
    <row r="197" spans="1:2" x14ac:dyDescent="0.35">
      <c r="A197" s="2" t="str">
        <f>IF(facility!$A197&lt;&gt;"",facility!$A197,"")</f>
        <v/>
      </c>
      <c r="B197" s="1"/>
    </row>
    <row r="198" spans="1:2" x14ac:dyDescent="0.35">
      <c r="A198" s="2" t="str">
        <f>IF(facility!$A198&lt;&gt;"",facility!$A198,"")</f>
        <v/>
      </c>
      <c r="B198" s="1"/>
    </row>
    <row r="199" spans="1:2" x14ac:dyDescent="0.35">
      <c r="A199" s="2" t="str">
        <f>IF(facility!$A199&lt;&gt;"",facility!$A199,"")</f>
        <v/>
      </c>
      <c r="B199" s="1"/>
    </row>
    <row r="200" spans="1:2" x14ac:dyDescent="0.35">
      <c r="A200" s="2" t="str">
        <f>IF(facility!$A200&lt;&gt;"",facility!$A200,"")</f>
        <v/>
      </c>
      <c r="B200" s="1"/>
    </row>
    <row r="201" spans="1:2" x14ac:dyDescent="0.35">
      <c r="A201" s="2" t="str">
        <f>IF(facility!$A201&lt;&gt;"",facility!$A201,"")</f>
        <v/>
      </c>
      <c r="B201" s="1"/>
    </row>
    <row r="202" spans="1:2" x14ac:dyDescent="0.35">
      <c r="A202" s="2" t="str">
        <f>IF(facility!$A202&lt;&gt;"",facility!$A202,"")</f>
        <v/>
      </c>
      <c r="B202" s="1"/>
    </row>
    <row r="203" spans="1:2" x14ac:dyDescent="0.35">
      <c r="A203" s="2" t="str">
        <f>IF(facility!$A203&lt;&gt;"",facility!$A203,"")</f>
        <v/>
      </c>
      <c r="B203" s="1"/>
    </row>
    <row r="204" spans="1:2" x14ac:dyDescent="0.35">
      <c r="A204" s="2" t="str">
        <f>IF(facility!$A204&lt;&gt;"",facility!$A204,"")</f>
        <v/>
      </c>
      <c r="B204" s="1"/>
    </row>
    <row r="205" spans="1:2" x14ac:dyDescent="0.35">
      <c r="A205" s="2" t="str">
        <f>IF(facility!$A205&lt;&gt;"",facility!$A205,"")</f>
        <v/>
      </c>
      <c r="B205" s="1"/>
    </row>
    <row r="206" spans="1:2" x14ac:dyDescent="0.35">
      <c r="A206" s="2" t="str">
        <f>IF(facility!$A206&lt;&gt;"",facility!$A206,"")</f>
        <v/>
      </c>
      <c r="B206" s="1"/>
    </row>
    <row r="207" spans="1:2" x14ac:dyDescent="0.35">
      <c r="A207" s="2" t="str">
        <f>IF(facility!$A207&lt;&gt;"",facility!$A207,"")</f>
        <v/>
      </c>
      <c r="B207" s="1"/>
    </row>
    <row r="208" spans="1:2" x14ac:dyDescent="0.35">
      <c r="A208" s="2" t="str">
        <f>IF(facility!$A208&lt;&gt;"",facility!$A208,"")</f>
        <v/>
      </c>
      <c r="B208" s="1"/>
    </row>
    <row r="209" spans="1:2" x14ac:dyDescent="0.35">
      <c r="A209" s="2" t="str">
        <f>IF(facility!$A209&lt;&gt;"",facility!$A209,"")</f>
        <v/>
      </c>
      <c r="B209" s="1"/>
    </row>
    <row r="210" spans="1:2" x14ac:dyDescent="0.35">
      <c r="A210" s="2" t="str">
        <f>IF(facility!$A210&lt;&gt;"",facility!$A210,"")</f>
        <v/>
      </c>
      <c r="B210" s="1"/>
    </row>
    <row r="211" spans="1:2" x14ac:dyDescent="0.35">
      <c r="A211" s="2" t="str">
        <f>IF(facility!$A211&lt;&gt;"",facility!$A211,"")</f>
        <v/>
      </c>
      <c r="B211" s="1"/>
    </row>
    <row r="212" spans="1:2" x14ac:dyDescent="0.35">
      <c r="A212" s="2" t="str">
        <f>IF(facility!$A212&lt;&gt;"",facility!$A212,"")</f>
        <v/>
      </c>
      <c r="B212" s="1"/>
    </row>
    <row r="213" spans="1:2" x14ac:dyDescent="0.35">
      <c r="A213" s="2" t="str">
        <f>IF(facility!$A213&lt;&gt;"",facility!$A213,"")</f>
        <v/>
      </c>
      <c r="B213" s="1"/>
    </row>
    <row r="214" spans="1:2" x14ac:dyDescent="0.35">
      <c r="A214" s="2" t="str">
        <f>IF(facility!$A214&lt;&gt;"",facility!$A214,"")</f>
        <v/>
      </c>
      <c r="B214" s="1"/>
    </row>
    <row r="215" spans="1:2" x14ac:dyDescent="0.35">
      <c r="A215" s="2" t="str">
        <f>IF(facility!$A215&lt;&gt;"",facility!$A215,"")</f>
        <v/>
      </c>
      <c r="B215" s="1"/>
    </row>
    <row r="216" spans="1:2" x14ac:dyDescent="0.35">
      <c r="A216" s="2" t="str">
        <f>IF(facility!$A216&lt;&gt;"",facility!$A216,"")</f>
        <v/>
      </c>
      <c r="B216" s="1"/>
    </row>
    <row r="217" spans="1:2" x14ac:dyDescent="0.35">
      <c r="A217" s="2" t="str">
        <f>IF(facility!$A217&lt;&gt;"",facility!$A217,"")</f>
        <v/>
      </c>
      <c r="B217" s="1"/>
    </row>
    <row r="218" spans="1:2" x14ac:dyDescent="0.35">
      <c r="A218" s="2" t="str">
        <f>IF(facility!$A218&lt;&gt;"",facility!$A218,"")</f>
        <v/>
      </c>
      <c r="B218" s="1"/>
    </row>
    <row r="219" spans="1:2" x14ac:dyDescent="0.35">
      <c r="A219" s="2" t="str">
        <f>IF(facility!$A219&lt;&gt;"",facility!$A219,"")</f>
        <v/>
      </c>
      <c r="B219" s="1"/>
    </row>
    <row r="220" spans="1:2" x14ac:dyDescent="0.35">
      <c r="A220" s="2" t="str">
        <f>IF(facility!$A220&lt;&gt;"",facility!$A220,"")</f>
        <v/>
      </c>
      <c r="B220" s="1"/>
    </row>
    <row r="221" spans="1:2" x14ac:dyDescent="0.35">
      <c r="A221" s="2" t="str">
        <f>IF(facility!$A221&lt;&gt;"",facility!$A221,"")</f>
        <v/>
      </c>
      <c r="B221" s="1"/>
    </row>
    <row r="222" spans="1:2" x14ac:dyDescent="0.35">
      <c r="A222" s="2" t="str">
        <f>IF(facility!$A222&lt;&gt;"",facility!$A222,"")</f>
        <v/>
      </c>
      <c r="B222" s="1"/>
    </row>
    <row r="223" spans="1:2" x14ac:dyDescent="0.35">
      <c r="A223" s="2" t="str">
        <f>IF(facility!$A223&lt;&gt;"",facility!$A223,"")</f>
        <v/>
      </c>
      <c r="B223" s="1"/>
    </row>
    <row r="224" spans="1:2" x14ac:dyDescent="0.35">
      <c r="A224" s="2" t="str">
        <f>IF(facility!$A224&lt;&gt;"",facility!$A224,"")</f>
        <v/>
      </c>
      <c r="B224" s="1"/>
    </row>
    <row r="225" spans="1:2" x14ac:dyDescent="0.35">
      <c r="A225" s="2" t="str">
        <f>IF(facility!$A225&lt;&gt;"",facility!$A225,"")</f>
        <v/>
      </c>
      <c r="B225" s="1"/>
    </row>
    <row r="226" spans="1:2" x14ac:dyDescent="0.35">
      <c r="A226" s="2" t="str">
        <f>IF(facility!$A226&lt;&gt;"",facility!$A226,"")</f>
        <v/>
      </c>
      <c r="B226" s="1"/>
    </row>
    <row r="227" spans="1:2" x14ac:dyDescent="0.35">
      <c r="A227" s="2" t="str">
        <f>IF(facility!$A227&lt;&gt;"",facility!$A227,"")</f>
        <v/>
      </c>
      <c r="B227" s="1"/>
    </row>
    <row r="228" spans="1:2" x14ac:dyDescent="0.35">
      <c r="A228" s="2" t="str">
        <f>IF(facility!$A228&lt;&gt;"",facility!$A228,"")</f>
        <v/>
      </c>
      <c r="B228" s="1"/>
    </row>
    <row r="229" spans="1:2" x14ac:dyDescent="0.35">
      <c r="A229" s="2" t="str">
        <f>IF(facility!$A229&lt;&gt;"",facility!$A229,"")</f>
        <v/>
      </c>
      <c r="B229" s="1"/>
    </row>
    <row r="230" spans="1:2" x14ac:dyDescent="0.35">
      <c r="A230" s="2" t="str">
        <f>IF(facility!$A230&lt;&gt;"",facility!$A230,"")</f>
        <v/>
      </c>
      <c r="B230" s="1"/>
    </row>
    <row r="231" spans="1:2" x14ac:dyDescent="0.35">
      <c r="A231" s="2" t="str">
        <f>IF(facility!$A231&lt;&gt;"",facility!$A231,"")</f>
        <v/>
      </c>
      <c r="B231" s="1"/>
    </row>
    <row r="232" spans="1:2" x14ac:dyDescent="0.35">
      <c r="A232" s="2" t="str">
        <f>IF(facility!$A232&lt;&gt;"",facility!$A232,"")</f>
        <v/>
      </c>
      <c r="B232" s="1"/>
    </row>
    <row r="233" spans="1:2" x14ac:dyDescent="0.35">
      <c r="A233" s="2" t="str">
        <f>IF(facility!$A233&lt;&gt;"",facility!$A233,"")</f>
        <v/>
      </c>
      <c r="B233" s="1"/>
    </row>
    <row r="234" spans="1:2" x14ac:dyDescent="0.35">
      <c r="A234" s="2" t="str">
        <f>IF(facility!$A234&lt;&gt;"",facility!$A234,"")</f>
        <v/>
      </c>
      <c r="B234" s="1"/>
    </row>
    <row r="235" spans="1:2" x14ac:dyDescent="0.35">
      <c r="A235" s="2" t="str">
        <f>IF(facility!$A235&lt;&gt;"",facility!$A235,"")</f>
        <v/>
      </c>
      <c r="B235" s="1"/>
    </row>
    <row r="236" spans="1:2" x14ac:dyDescent="0.35">
      <c r="A236" s="2" t="str">
        <f>IF(facility!$A236&lt;&gt;"",facility!$A236,"")</f>
        <v/>
      </c>
      <c r="B236" s="1"/>
    </row>
    <row r="237" spans="1:2" x14ac:dyDescent="0.35">
      <c r="A237" s="2" t="str">
        <f>IF(facility!$A237&lt;&gt;"",facility!$A237,"")</f>
        <v/>
      </c>
      <c r="B237" s="1"/>
    </row>
    <row r="238" spans="1:2" x14ac:dyDescent="0.35">
      <c r="A238" s="2" t="str">
        <f>IF(facility!$A238&lt;&gt;"",facility!$A238,"")</f>
        <v/>
      </c>
      <c r="B238" s="1"/>
    </row>
    <row r="239" spans="1:2" x14ac:dyDescent="0.35">
      <c r="A239" s="2" t="str">
        <f>IF(facility!$A239&lt;&gt;"",facility!$A239,"")</f>
        <v/>
      </c>
      <c r="B239" s="1"/>
    </row>
    <row r="240" spans="1:2" x14ac:dyDescent="0.35">
      <c r="A240" s="2" t="str">
        <f>IF(facility!$A240&lt;&gt;"",facility!$A240,"")</f>
        <v/>
      </c>
      <c r="B240" s="1"/>
    </row>
    <row r="241" spans="1:2" x14ac:dyDescent="0.35">
      <c r="A241" s="2" t="str">
        <f>IF(facility!$A241&lt;&gt;"",facility!$A241,"")</f>
        <v/>
      </c>
      <c r="B241" s="1"/>
    </row>
    <row r="242" spans="1:2" x14ac:dyDescent="0.35">
      <c r="A242" s="2" t="str">
        <f>IF(facility!$A242&lt;&gt;"",facility!$A242,"")</f>
        <v/>
      </c>
      <c r="B242" s="1"/>
    </row>
    <row r="243" spans="1:2" x14ac:dyDescent="0.35">
      <c r="A243" s="2" t="str">
        <f>IF(facility!$A243&lt;&gt;"",facility!$A243,"")</f>
        <v/>
      </c>
      <c r="B243" s="1"/>
    </row>
    <row r="244" spans="1:2" x14ac:dyDescent="0.35">
      <c r="A244" s="2" t="str">
        <f>IF(facility!$A244&lt;&gt;"",facility!$A244,"")</f>
        <v/>
      </c>
      <c r="B244" s="1"/>
    </row>
    <row r="245" spans="1:2" x14ac:dyDescent="0.35">
      <c r="A245" s="2" t="str">
        <f>IF(facility!$A245&lt;&gt;"",facility!$A245,"")</f>
        <v/>
      </c>
      <c r="B245" s="1"/>
    </row>
    <row r="246" spans="1:2" x14ac:dyDescent="0.35">
      <c r="A246" s="2" t="str">
        <f>IF(facility!$A246&lt;&gt;"",facility!$A246,"")</f>
        <v/>
      </c>
      <c r="B246" s="1"/>
    </row>
    <row r="247" spans="1:2" x14ac:dyDescent="0.35">
      <c r="A247" s="2" t="str">
        <f>IF(facility!$A247&lt;&gt;"",facility!$A247,"")</f>
        <v/>
      </c>
      <c r="B247" s="1"/>
    </row>
    <row r="248" spans="1:2" x14ac:dyDescent="0.35">
      <c r="A248" s="2" t="str">
        <f>IF(facility!$A248&lt;&gt;"",facility!$A248,"")</f>
        <v/>
      </c>
      <c r="B248" s="1"/>
    </row>
    <row r="249" spans="1:2" x14ac:dyDescent="0.35">
      <c r="A249" s="2" t="str">
        <f>IF(facility!$A249&lt;&gt;"",facility!$A249,"")</f>
        <v/>
      </c>
      <c r="B249" s="1"/>
    </row>
    <row r="250" spans="1:2" x14ac:dyDescent="0.35">
      <c r="A250" s="2" t="str">
        <f>IF(facility!$A250&lt;&gt;"",facility!$A250,"")</f>
        <v/>
      </c>
      <c r="B250" s="1"/>
    </row>
    <row r="251" spans="1:2" x14ac:dyDescent="0.35">
      <c r="A251" s="2" t="str">
        <f>IF(facility!$A251&lt;&gt;"",facility!$A251,"")</f>
        <v/>
      </c>
      <c r="B251" s="1"/>
    </row>
    <row r="252" spans="1:2" x14ac:dyDescent="0.35">
      <c r="A252" s="2" t="str">
        <f>IF(facility!$A252&lt;&gt;"",facility!$A252,"")</f>
        <v/>
      </c>
      <c r="B252" s="1"/>
    </row>
    <row r="253" spans="1:2" x14ac:dyDescent="0.35">
      <c r="A253" s="2" t="str">
        <f>IF(facility!$A253&lt;&gt;"",facility!$A253,"")</f>
        <v/>
      </c>
      <c r="B253" s="1"/>
    </row>
    <row r="254" spans="1:2" x14ac:dyDescent="0.35">
      <c r="A254" s="2" t="str">
        <f>IF(facility!$A254&lt;&gt;"",facility!$A254,"")</f>
        <v/>
      </c>
      <c r="B254" s="1"/>
    </row>
    <row r="255" spans="1:2" x14ac:dyDescent="0.35">
      <c r="A255" s="2" t="str">
        <f>IF(facility!$A255&lt;&gt;"",facility!$A255,"")</f>
        <v/>
      </c>
      <c r="B255" s="1"/>
    </row>
    <row r="256" spans="1:2" x14ac:dyDescent="0.35">
      <c r="A256" s="2" t="str">
        <f>IF(facility!$A256&lt;&gt;"",facility!$A256,"")</f>
        <v/>
      </c>
      <c r="B256" s="1"/>
    </row>
    <row r="257" spans="1:2" x14ac:dyDescent="0.35">
      <c r="A257" s="2" t="str">
        <f>IF(facility!$A257&lt;&gt;"",facility!$A257,"")</f>
        <v/>
      </c>
      <c r="B257" s="1"/>
    </row>
    <row r="258" spans="1:2" x14ac:dyDescent="0.35">
      <c r="A258" s="2" t="str">
        <f>IF(facility!$A258&lt;&gt;"",facility!$A258,"")</f>
        <v/>
      </c>
      <c r="B258" s="1"/>
    </row>
    <row r="259" spans="1:2" x14ac:dyDescent="0.35">
      <c r="A259" s="2" t="str">
        <f>IF(facility!$A259&lt;&gt;"",facility!$A259,"")</f>
        <v/>
      </c>
      <c r="B259" s="1"/>
    </row>
    <row r="260" spans="1:2" x14ac:dyDescent="0.35">
      <c r="A260" s="2" t="str">
        <f>IF(facility!$A260&lt;&gt;"",facility!$A260,"")</f>
        <v/>
      </c>
      <c r="B260" s="1"/>
    </row>
    <row r="261" spans="1:2" x14ac:dyDescent="0.35">
      <c r="A261" s="2" t="str">
        <f>IF(facility!$A261&lt;&gt;"",facility!$A261,"")</f>
        <v/>
      </c>
      <c r="B261" s="1"/>
    </row>
    <row r="262" spans="1:2" x14ac:dyDescent="0.35">
      <c r="A262" s="2" t="str">
        <f>IF(facility!$A262&lt;&gt;"",facility!$A262,"")</f>
        <v/>
      </c>
      <c r="B262" s="1"/>
    </row>
    <row r="263" spans="1:2" x14ac:dyDescent="0.35">
      <c r="A263" s="2" t="str">
        <f>IF(facility!$A263&lt;&gt;"",facility!$A263,"")</f>
        <v/>
      </c>
      <c r="B263" s="1"/>
    </row>
    <row r="264" spans="1:2" x14ac:dyDescent="0.35">
      <c r="A264" s="2" t="str">
        <f>IF(facility!$A264&lt;&gt;"",facility!$A264,"")</f>
        <v/>
      </c>
      <c r="B264" s="1"/>
    </row>
    <row r="265" spans="1:2" x14ac:dyDescent="0.35">
      <c r="A265" s="2" t="str">
        <f>IF(facility!$A265&lt;&gt;"",facility!$A265,"")</f>
        <v/>
      </c>
      <c r="B265" s="1"/>
    </row>
    <row r="266" spans="1:2" x14ac:dyDescent="0.35">
      <c r="A266" s="2" t="str">
        <f>IF(facility!$A266&lt;&gt;"",facility!$A266,"")</f>
        <v/>
      </c>
      <c r="B266" s="1"/>
    </row>
    <row r="267" spans="1:2" x14ac:dyDescent="0.35">
      <c r="A267" s="2" t="str">
        <f>IF(facility!$A267&lt;&gt;"",facility!$A267,"")</f>
        <v/>
      </c>
      <c r="B267" s="1"/>
    </row>
    <row r="268" spans="1:2" x14ac:dyDescent="0.35">
      <c r="A268" s="2" t="str">
        <f>IF(facility!$A268&lt;&gt;"",facility!$A268,"")</f>
        <v/>
      </c>
      <c r="B268" s="1"/>
    </row>
    <row r="269" spans="1:2" x14ac:dyDescent="0.35">
      <c r="A269" s="2" t="str">
        <f>IF(facility!$A269&lt;&gt;"",facility!$A269,"")</f>
        <v/>
      </c>
      <c r="B269" s="1"/>
    </row>
    <row r="270" spans="1:2" x14ac:dyDescent="0.35">
      <c r="A270" s="2" t="str">
        <f>IF(facility!$A270&lt;&gt;"",facility!$A270,"")</f>
        <v/>
      </c>
      <c r="B270" s="1"/>
    </row>
    <row r="271" spans="1:2" x14ac:dyDescent="0.35">
      <c r="A271" s="2" t="str">
        <f>IF(facility!$A271&lt;&gt;"",facility!$A271,"")</f>
        <v/>
      </c>
      <c r="B271" s="1"/>
    </row>
    <row r="272" spans="1:2" x14ac:dyDescent="0.35">
      <c r="A272" s="2" t="str">
        <f>IF(facility!$A272&lt;&gt;"",facility!$A272,"")</f>
        <v/>
      </c>
      <c r="B272" s="1"/>
    </row>
    <row r="273" spans="1:2" x14ac:dyDescent="0.35">
      <c r="A273" s="2" t="str">
        <f>IF(facility!$A273&lt;&gt;"",facility!$A273,"")</f>
        <v/>
      </c>
      <c r="B273" s="1"/>
    </row>
    <row r="274" spans="1:2" x14ac:dyDescent="0.35">
      <c r="A274" s="2" t="str">
        <f>IF(facility!$A274&lt;&gt;"",facility!$A274,"")</f>
        <v/>
      </c>
      <c r="B274" s="1"/>
    </row>
    <row r="275" spans="1:2" x14ac:dyDescent="0.35">
      <c r="A275" s="2" t="str">
        <f>IF(facility!$A275&lt;&gt;"",facility!$A275,"")</f>
        <v/>
      </c>
      <c r="B275" s="1"/>
    </row>
    <row r="276" spans="1:2" x14ac:dyDescent="0.35">
      <c r="A276" s="2" t="str">
        <f>IF(facility!$A276&lt;&gt;"",facility!$A276,"")</f>
        <v/>
      </c>
      <c r="B276" s="1"/>
    </row>
    <row r="277" spans="1:2" x14ac:dyDescent="0.35">
      <c r="A277" s="2" t="str">
        <f>IF(facility!$A277&lt;&gt;"",facility!$A277,"")</f>
        <v/>
      </c>
      <c r="B277" s="1"/>
    </row>
    <row r="278" spans="1:2" x14ac:dyDescent="0.35">
      <c r="A278" s="2" t="str">
        <f>IF(facility!$A278&lt;&gt;"",facility!$A278,"")</f>
        <v/>
      </c>
      <c r="B278" s="1"/>
    </row>
    <row r="279" spans="1:2" x14ac:dyDescent="0.35">
      <c r="A279" s="2" t="str">
        <f>IF(facility!$A279&lt;&gt;"",facility!$A279,"")</f>
        <v/>
      </c>
      <c r="B279" s="1"/>
    </row>
    <row r="280" spans="1:2" x14ac:dyDescent="0.35">
      <c r="A280" s="2" t="str">
        <f>IF(facility!$A280&lt;&gt;"",facility!$A280,"")</f>
        <v/>
      </c>
      <c r="B280" s="1"/>
    </row>
    <row r="281" spans="1:2" x14ac:dyDescent="0.35">
      <c r="A281" s="2" t="str">
        <f>IF(facility!$A281&lt;&gt;"",facility!$A281,"")</f>
        <v/>
      </c>
      <c r="B281" s="1"/>
    </row>
    <row r="282" spans="1:2" x14ac:dyDescent="0.35">
      <c r="A282" s="2" t="str">
        <f>IF(facility!$A282&lt;&gt;"",facility!$A282,"")</f>
        <v/>
      </c>
      <c r="B282" s="1"/>
    </row>
    <row r="283" spans="1:2" x14ac:dyDescent="0.35">
      <c r="A283" s="2" t="str">
        <f>IF(facility!$A283&lt;&gt;"",facility!$A283,"")</f>
        <v/>
      </c>
      <c r="B283" s="1"/>
    </row>
    <row r="284" spans="1:2" x14ac:dyDescent="0.35">
      <c r="A284" s="2" t="str">
        <f>IF(facility!$A284&lt;&gt;"",facility!$A284,"")</f>
        <v/>
      </c>
      <c r="B284" s="1"/>
    </row>
    <row r="285" spans="1:2" x14ac:dyDescent="0.35">
      <c r="A285" s="2" t="str">
        <f>IF(facility!$A285&lt;&gt;"",facility!$A285,"")</f>
        <v/>
      </c>
      <c r="B285" s="1"/>
    </row>
    <row r="286" spans="1:2" x14ac:dyDescent="0.35">
      <c r="A286" s="2" t="str">
        <f>IF(facility!$A286&lt;&gt;"",facility!$A286,"")</f>
        <v/>
      </c>
      <c r="B286" s="1"/>
    </row>
    <row r="287" spans="1:2" x14ac:dyDescent="0.35">
      <c r="A287" s="2" t="str">
        <f>IF(facility!$A287&lt;&gt;"",facility!$A287,"")</f>
        <v/>
      </c>
      <c r="B287" s="1"/>
    </row>
    <row r="288" spans="1:2" x14ac:dyDescent="0.35">
      <c r="A288" s="2" t="str">
        <f>IF(facility!$A288&lt;&gt;"",facility!$A288,"")</f>
        <v/>
      </c>
      <c r="B288" s="1"/>
    </row>
    <row r="289" spans="1:2" x14ac:dyDescent="0.35">
      <c r="A289" s="2" t="str">
        <f>IF(facility!$A289&lt;&gt;"",facility!$A289,"")</f>
        <v/>
      </c>
      <c r="B289" s="1"/>
    </row>
    <row r="290" spans="1:2" x14ac:dyDescent="0.35">
      <c r="A290" s="2" t="str">
        <f>IF(facility!$A290&lt;&gt;"",facility!$A290,"")</f>
        <v/>
      </c>
      <c r="B290" s="1"/>
    </row>
    <row r="291" spans="1:2" x14ac:dyDescent="0.35">
      <c r="A291" s="2" t="str">
        <f>IF(facility!$A291&lt;&gt;"",facility!$A291,"")</f>
        <v/>
      </c>
      <c r="B291" s="1"/>
    </row>
    <row r="292" spans="1:2" x14ac:dyDescent="0.35">
      <c r="A292" s="2" t="str">
        <f>IF(facility!$A292&lt;&gt;"",facility!$A292,"")</f>
        <v/>
      </c>
      <c r="B292" s="1"/>
    </row>
    <row r="293" spans="1:2" x14ac:dyDescent="0.35">
      <c r="A293" s="2" t="str">
        <f>IF(facility!$A293&lt;&gt;"",facility!$A293,"")</f>
        <v/>
      </c>
      <c r="B293" s="1"/>
    </row>
    <row r="294" spans="1:2" x14ac:dyDescent="0.35">
      <c r="A294" s="2" t="str">
        <f>IF(facility!$A294&lt;&gt;"",facility!$A294,"")</f>
        <v/>
      </c>
      <c r="B294" s="1"/>
    </row>
    <row r="295" spans="1:2" x14ac:dyDescent="0.35">
      <c r="A295" s="2" t="str">
        <f>IF(facility!$A295&lt;&gt;"",facility!$A295,"")</f>
        <v/>
      </c>
      <c r="B295" s="1"/>
    </row>
    <row r="296" spans="1:2" x14ac:dyDescent="0.35">
      <c r="A296" s="2" t="str">
        <f>IF(facility!$A296&lt;&gt;"",facility!$A296,"")</f>
        <v/>
      </c>
      <c r="B296" s="1"/>
    </row>
    <row r="297" spans="1:2" x14ac:dyDescent="0.35">
      <c r="A297" s="2" t="str">
        <f>IF(facility!$A297&lt;&gt;"",facility!$A297,"")</f>
        <v/>
      </c>
      <c r="B297" s="1"/>
    </row>
    <row r="298" spans="1:2" x14ac:dyDescent="0.35">
      <c r="A298" s="2" t="str">
        <f>IF(facility!$A298&lt;&gt;"",facility!$A298,"")</f>
        <v/>
      </c>
      <c r="B298" s="1"/>
    </row>
    <row r="299" spans="1:2" x14ac:dyDescent="0.35">
      <c r="A299" s="2" t="str">
        <f>IF(facility!$A299&lt;&gt;"",facility!$A299,"")</f>
        <v/>
      </c>
      <c r="B299" s="1"/>
    </row>
    <row r="300" spans="1:2" x14ac:dyDescent="0.35">
      <c r="A300" s="2" t="str">
        <f>IF(facility!$A300&lt;&gt;"",facility!$A300,"")</f>
        <v/>
      </c>
      <c r="B300" s="1"/>
    </row>
    <row r="301" spans="1:2" x14ac:dyDescent="0.35">
      <c r="A301" s="2" t="str">
        <f>IF(facility!$A301&lt;&gt;"",facility!$A301,"")</f>
        <v/>
      </c>
      <c r="B301" s="1"/>
    </row>
    <row r="302" spans="1:2" x14ac:dyDescent="0.35">
      <c r="A302" s="2" t="str">
        <f>IF(facility!$A302&lt;&gt;"",facility!$A302,"")</f>
        <v/>
      </c>
      <c r="B302" s="1"/>
    </row>
    <row r="303" spans="1:2" x14ac:dyDescent="0.35">
      <c r="A303" s="2" t="str">
        <f>IF(facility!$A303&lt;&gt;"",facility!$A303,"")</f>
        <v/>
      </c>
      <c r="B303" s="1"/>
    </row>
    <row r="304" spans="1:2" x14ac:dyDescent="0.35">
      <c r="A304" s="2" t="str">
        <f>IF(facility!$A304&lt;&gt;"",facility!$A304,"")</f>
        <v/>
      </c>
      <c r="B304" s="1"/>
    </row>
    <row r="305" spans="1:2" x14ac:dyDescent="0.35">
      <c r="A305" s="2" t="str">
        <f>IF(facility!$A305&lt;&gt;"",facility!$A305,"")</f>
        <v/>
      </c>
      <c r="B305" s="1"/>
    </row>
    <row r="306" spans="1:2" x14ac:dyDescent="0.35">
      <c r="A306" s="2" t="str">
        <f>IF(facility!$A306&lt;&gt;"",facility!$A306,"")</f>
        <v/>
      </c>
      <c r="B306" s="1"/>
    </row>
    <row r="307" spans="1:2" x14ac:dyDescent="0.35">
      <c r="A307" s="2" t="str">
        <f>IF(facility!$A307&lt;&gt;"",facility!$A307,"")</f>
        <v/>
      </c>
      <c r="B307" s="1"/>
    </row>
    <row r="308" spans="1:2" x14ac:dyDescent="0.35">
      <c r="A308" s="2" t="str">
        <f>IF(facility!$A308&lt;&gt;"",facility!$A308,"")</f>
        <v/>
      </c>
      <c r="B308" s="1"/>
    </row>
    <row r="309" spans="1:2" x14ac:dyDescent="0.35">
      <c r="A309" s="2" t="str">
        <f>IF(facility!$A309&lt;&gt;"",facility!$A309,"")</f>
        <v/>
      </c>
      <c r="B309" s="1"/>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176A-2DBB-4E55-BED7-E81047A94992}">
  <sheetPr>
    <tabColor theme="5" tint="0.39997558519241921"/>
  </sheetPr>
  <dimension ref="A1:KJ309"/>
  <sheetViews>
    <sheetView zoomScaleNormal="100" workbookViewId="0">
      <selection activeCell="C2" sqref="C2"/>
    </sheetView>
  </sheetViews>
  <sheetFormatPr defaultRowHeight="14.5" x14ac:dyDescent="0.35"/>
  <cols>
    <col min="1" max="1" width="21.54296875" bestFit="1" customWidth="1"/>
    <col min="2" max="2" width="31.81640625" bestFit="1" customWidth="1"/>
    <col min="3" max="3" width="30" bestFit="1" customWidth="1"/>
    <col min="4" max="4" width="26.1796875" bestFit="1" customWidth="1"/>
    <col min="5" max="5" width="20" bestFit="1" customWidth="1"/>
    <col min="6" max="6" width="29.1796875" bestFit="1" customWidth="1"/>
    <col min="7" max="8" width="28.26953125" bestFit="1" customWidth="1"/>
    <col min="9" max="9" width="29.36328125" bestFit="1" customWidth="1"/>
    <col min="10" max="11" width="25.26953125" bestFit="1" customWidth="1"/>
  </cols>
  <sheetData>
    <row r="1" spans="1:296" s="2" customFormat="1" x14ac:dyDescent="0.35">
      <c r="A1" s="2" t="s">
        <v>0</v>
      </c>
      <c r="B1" s="2" t="str">
        <f>IF(interventions!$A2&lt;&gt;"",interventions!$A2&amp;"_cost","")</f>
        <v>solar_system1_cost</v>
      </c>
      <c r="C1" s="2" t="str">
        <f>IF(interventions!$A3&lt;&gt;"",interventions!$A3&amp;"_cost","")</f>
        <v>led_light1_cost</v>
      </c>
      <c r="D1" s="2" t="str">
        <f>IF(interventions!$A4&lt;&gt;"",interventions!$A4&amp;"_cost","")</f>
        <v>energy_efficient_fridge1_cost</v>
      </c>
      <c r="E1" s="2" t="str">
        <f>IF(interventions!$A5&lt;&gt;"",interventions!$A5&amp;"_cost","")</f>
        <v>energy_efficient_fridge_multi5_cost</v>
      </c>
      <c r="F1" s="2" t="str">
        <f>IF(interventions!$A6&lt;&gt;"",interventions!$A6&amp;"_cost","")</f>
        <v>laundry_machine_cost</v>
      </c>
      <c r="G1" s="2" t="str">
        <f>IF(interventions!$A7&lt;&gt;"",interventions!$A7&amp;"_cost","")</f>
        <v>energy_efficient_ac_multi1_cost</v>
      </c>
      <c r="H1" s="2" t="str">
        <f>IF(interventions!$A8&lt;&gt;"",interventions!$A8&amp;"_cost","")</f>
        <v>energy_efficient_ac_multi5_cost</v>
      </c>
      <c r="I1" s="2" t="str">
        <f>IF(interventions!$A9&lt;&gt;"",interventions!$A9&amp;"_cost","")</f>
        <v>energy_efficient_ac_multi10_cost</v>
      </c>
      <c r="J1" s="2" t="str">
        <f>IF(interventions!$A10&lt;&gt;"",interventions!$A10&amp;"_cost","")</f>
        <v>tree_planting_multi100_cost</v>
      </c>
      <c r="K1" s="2" t="str">
        <f>IF(interventions!$A11&lt;&gt;"",interventions!$A11&amp;"_cost","")</f>
        <v>tree_planting_multi200_cost</v>
      </c>
      <c r="L1" s="2" t="str">
        <f>IF(interventions!$A12&lt;&gt;"",interventions!$A12&amp;"_cost","")</f>
        <v>waste_segregation_cost</v>
      </c>
      <c r="M1" s="2" t="str">
        <f>IF(interventions!$A13&lt;&gt;"",interventions!$A13&amp;"_cost","")</f>
        <v>staff_training_awareness_cost</v>
      </c>
      <c r="N1" s="2" t="str">
        <f>IF(interventions!$A14&lt;&gt;"",interventions!$A14&amp;"_cost","")</f>
        <v/>
      </c>
      <c r="O1" s="2" t="str">
        <f>IF(interventions!$A15&lt;&gt;"",interventions!$A15&amp;"_cost","")</f>
        <v/>
      </c>
      <c r="P1" s="2" t="str">
        <f>IF(interventions!$A16&lt;&gt;"",interventions!$A16&amp;"_cost","")</f>
        <v/>
      </c>
      <c r="Q1" s="2" t="str">
        <f>IF(interventions!$A17&lt;&gt;"",interventions!$A17&amp;"_cost","")</f>
        <v/>
      </c>
      <c r="R1" s="2" t="str">
        <f>IF(interventions!$A18&lt;&gt;"",interventions!$A18&amp;"_cost","")</f>
        <v/>
      </c>
      <c r="S1" s="2" t="str">
        <f>IF(interventions!$A19&lt;&gt;"",interventions!$A19&amp;"_cost","")</f>
        <v/>
      </c>
      <c r="T1" s="2" t="str">
        <f>IF(interventions!$A20&lt;&gt;"",interventions!$A20&amp;"_cost","")</f>
        <v/>
      </c>
      <c r="U1" s="2" t="str">
        <f>IF(interventions!$A21&lt;&gt;"",interventions!$A21&amp;"_cost","")</f>
        <v/>
      </c>
      <c r="V1" s="2" t="str">
        <f>IF(interventions!$A22&lt;&gt;"",interventions!$A22&amp;"_cost","")</f>
        <v/>
      </c>
      <c r="W1" s="2" t="str">
        <f>IF(interventions!$A23&lt;&gt;"",interventions!$A23&amp;"_cost","")</f>
        <v/>
      </c>
      <c r="X1" s="2" t="str">
        <f>IF(interventions!$A24&lt;&gt;"",interventions!$A24&amp;"_cost","")</f>
        <v/>
      </c>
      <c r="Y1" s="2" t="str">
        <f>IF(interventions!$A25&lt;&gt;"",interventions!$A25&amp;"_cost","")</f>
        <v/>
      </c>
      <c r="Z1" s="2" t="str">
        <f>IF(interventions!$A26&lt;&gt;"",interventions!$A26&amp;"_cost","")</f>
        <v/>
      </c>
      <c r="AA1" s="2" t="str">
        <f>IF(interventions!$A27&lt;&gt;"",interventions!$A27&amp;"_cost","")</f>
        <v/>
      </c>
      <c r="AB1" s="2" t="str">
        <f>IF(interventions!$A28&lt;&gt;"",interventions!$A28&amp;"_cost","")</f>
        <v/>
      </c>
      <c r="AC1" s="2" t="str">
        <f>IF(interventions!$A29&lt;&gt;"",interventions!$A29&amp;"_cost","")</f>
        <v/>
      </c>
      <c r="AD1" s="2" t="str">
        <f>IF(interventions!$A30&lt;&gt;"",interventions!$A30&amp;"_cost","")</f>
        <v/>
      </c>
      <c r="AE1" s="2" t="str">
        <f>IF(interventions!$A31&lt;&gt;"",interventions!$A31&amp;"_cost","")</f>
        <v/>
      </c>
      <c r="AF1" s="2" t="str">
        <f>IF(interventions!$A32&lt;&gt;"",interventions!$A32&amp;"_cost","")</f>
        <v/>
      </c>
      <c r="AG1" s="2" t="str">
        <f>IF(interventions!$A33&lt;&gt;"",interventions!$A33&amp;"_cost","")</f>
        <v/>
      </c>
      <c r="AH1" s="2" t="str">
        <f>IF(interventions!$A34&lt;&gt;"",interventions!$A34&amp;"_cost","")</f>
        <v/>
      </c>
      <c r="AI1" s="2" t="str">
        <f>IF(interventions!$A35&lt;&gt;"",interventions!$A35&amp;"_cost","")</f>
        <v/>
      </c>
      <c r="AJ1" s="2" t="str">
        <f>IF(interventions!$A36&lt;&gt;"",interventions!$A36&amp;"_cost","")</f>
        <v/>
      </c>
      <c r="AK1" s="2" t="str">
        <f>IF(interventions!$A37&lt;&gt;"",interventions!$A37&amp;"_cost","")</f>
        <v/>
      </c>
      <c r="AL1" s="2" t="str">
        <f>IF(interventions!$A38&lt;&gt;"",interventions!$A38&amp;"_cost","")</f>
        <v/>
      </c>
      <c r="AM1" s="2" t="str">
        <f>IF(interventions!$A39&lt;&gt;"",interventions!$A39&amp;"_cost","")</f>
        <v/>
      </c>
      <c r="AN1" s="2" t="str">
        <f>IF(interventions!$A40&lt;&gt;"",interventions!$A40&amp;"_cost","")</f>
        <v/>
      </c>
      <c r="AO1" s="2" t="str">
        <f>IF(interventions!$A41&lt;&gt;"",interventions!$A41&amp;"_cost","")</f>
        <v/>
      </c>
      <c r="AP1" s="2" t="str">
        <f>IF(interventions!$A42&lt;&gt;"",interventions!$A42&amp;"_cost","")</f>
        <v/>
      </c>
      <c r="AQ1" s="2" t="str">
        <f>IF(interventions!$A43&lt;&gt;"",interventions!$A43&amp;"_cost","")</f>
        <v/>
      </c>
      <c r="AR1" s="2" t="str">
        <f>IF(interventions!$A44&lt;&gt;"",interventions!$A44&amp;"_cost","")</f>
        <v/>
      </c>
      <c r="AS1" s="2" t="str">
        <f>IF(interventions!$A45&lt;&gt;"",interventions!$A45&amp;"_cost","")</f>
        <v/>
      </c>
      <c r="AT1" s="2" t="str">
        <f>IF(interventions!$A46&lt;&gt;"",interventions!$A46&amp;"_cost","")</f>
        <v/>
      </c>
      <c r="AU1" s="2" t="str">
        <f>IF(interventions!$A47&lt;&gt;"",interventions!$A47&amp;"_cost","")</f>
        <v/>
      </c>
      <c r="AV1" s="2" t="str">
        <f>IF(interventions!$A48&lt;&gt;"",interventions!$A48&amp;"_cost","")</f>
        <v/>
      </c>
      <c r="AW1" s="2" t="str">
        <f>IF(interventions!$A49&lt;&gt;"",interventions!$A49&amp;"_cost","")</f>
        <v/>
      </c>
      <c r="AX1" s="2" t="str">
        <f>IF(interventions!$A50&lt;&gt;"",interventions!$A50&amp;"_cost","")</f>
        <v/>
      </c>
      <c r="AY1" s="2" t="str">
        <f>IF(interventions!$A51&lt;&gt;"",interventions!$A51&amp;"_cost","")</f>
        <v/>
      </c>
      <c r="AZ1" s="2" t="str">
        <f>IF(interventions!$A52&lt;&gt;"",interventions!$A52&amp;"_cost","")</f>
        <v/>
      </c>
      <c r="BA1" s="2" t="str">
        <f>IF(interventions!$A53&lt;&gt;"",interventions!$A53&amp;"_cost","")</f>
        <v/>
      </c>
      <c r="BB1" s="2" t="str">
        <f>IF(interventions!$A54&lt;&gt;"",interventions!$A54&amp;"_cost","")</f>
        <v/>
      </c>
      <c r="BC1" s="2" t="str">
        <f>IF(interventions!$A55&lt;&gt;"",interventions!$A55&amp;"_cost","")</f>
        <v/>
      </c>
      <c r="BD1" s="2" t="str">
        <f>IF(interventions!$A56&lt;&gt;"",interventions!$A56&amp;"_cost","")</f>
        <v/>
      </c>
      <c r="BE1" s="2" t="str">
        <f>IF(interventions!$A57&lt;&gt;"",interventions!$A57&amp;"_cost","")</f>
        <v/>
      </c>
      <c r="BF1" s="2" t="str">
        <f>IF(interventions!$A58&lt;&gt;"",interventions!$A58&amp;"_cost","")</f>
        <v/>
      </c>
      <c r="BG1" s="2" t="str">
        <f>IF(interventions!$A59&lt;&gt;"",interventions!$A59&amp;"_cost","")</f>
        <v/>
      </c>
      <c r="BH1" s="2" t="str">
        <f>IF(interventions!$A60&lt;&gt;"",interventions!$A60&amp;"_cost","")</f>
        <v/>
      </c>
      <c r="BI1" s="2" t="str">
        <f>IF(interventions!$A61&lt;&gt;"",interventions!$A61&amp;"_cost","")</f>
        <v/>
      </c>
      <c r="BJ1" s="2" t="str">
        <f>IF(interventions!$A62&lt;&gt;"",interventions!$A62&amp;"_cost","")</f>
        <v/>
      </c>
      <c r="BK1" s="2" t="str">
        <f>IF(interventions!$A63&lt;&gt;"",interventions!$A63&amp;"_cost","")</f>
        <v/>
      </c>
      <c r="BL1" s="2" t="str">
        <f>IF(interventions!$A64&lt;&gt;"",interventions!$A64&amp;"_cost","")</f>
        <v/>
      </c>
      <c r="BM1" s="2" t="str">
        <f>IF(interventions!$A65&lt;&gt;"",interventions!$A65&amp;"_cost","")</f>
        <v/>
      </c>
      <c r="BN1" s="2" t="str">
        <f>IF(interventions!$A66&lt;&gt;"",interventions!$A66&amp;"_cost","")</f>
        <v/>
      </c>
      <c r="BO1" s="2" t="str">
        <f>IF(interventions!$A67&lt;&gt;"",interventions!$A67&amp;"_cost","")</f>
        <v/>
      </c>
      <c r="BP1" s="2" t="str">
        <f>IF(interventions!$A68&lt;&gt;"",interventions!$A68&amp;"_cost","")</f>
        <v/>
      </c>
      <c r="BQ1" s="2" t="str">
        <f>IF(interventions!$A69&lt;&gt;"",interventions!$A69&amp;"_cost","")</f>
        <v/>
      </c>
      <c r="BR1" s="2" t="str">
        <f>IF(interventions!$A70&lt;&gt;"",interventions!$A70&amp;"_cost","")</f>
        <v/>
      </c>
      <c r="BS1" s="2" t="str">
        <f>IF(interventions!$A71&lt;&gt;"",interventions!$A71&amp;"_cost","")</f>
        <v/>
      </c>
      <c r="BT1" s="2" t="str">
        <f>IF(interventions!$A72&lt;&gt;"",interventions!$A72&amp;"_cost","")</f>
        <v/>
      </c>
      <c r="BU1" s="2" t="str">
        <f>IF(interventions!$A73&lt;&gt;"",interventions!$A73&amp;"_cost","")</f>
        <v/>
      </c>
      <c r="BV1" s="2" t="str">
        <f>IF(interventions!$A74&lt;&gt;"",interventions!$A74&amp;"_cost","")</f>
        <v/>
      </c>
      <c r="BW1" s="2" t="str">
        <f>IF(interventions!$A75&lt;&gt;"",interventions!$A75&amp;"_cost","")</f>
        <v/>
      </c>
      <c r="BX1" s="2" t="str">
        <f>IF(interventions!$A76&lt;&gt;"",interventions!$A76&amp;"_cost","")</f>
        <v/>
      </c>
      <c r="BY1" s="2" t="str">
        <f>IF(interventions!$A77&lt;&gt;"",interventions!$A77&amp;"_cost","")</f>
        <v/>
      </c>
      <c r="BZ1" s="2" t="str">
        <f>IF(interventions!$A78&lt;&gt;"",interventions!$A78&amp;"_cost","")</f>
        <v/>
      </c>
      <c r="CA1" s="2" t="str">
        <f>IF(interventions!$A79&lt;&gt;"",interventions!$A79&amp;"_cost","")</f>
        <v/>
      </c>
      <c r="CB1" s="2" t="str">
        <f>IF(interventions!$A80&lt;&gt;"",interventions!$A80&amp;"_cost","")</f>
        <v/>
      </c>
      <c r="CC1" s="2" t="str">
        <f>IF(interventions!$A81&lt;&gt;"",interventions!$A81&amp;"_cost","")</f>
        <v/>
      </c>
      <c r="CD1" s="2" t="str">
        <f>IF(interventions!$A82&lt;&gt;"",interventions!$A82&amp;"_cost","")</f>
        <v/>
      </c>
      <c r="CE1" s="2" t="str">
        <f>IF(interventions!$A83&lt;&gt;"",interventions!$A83&amp;"_cost","")</f>
        <v/>
      </c>
      <c r="CF1" s="2" t="str">
        <f>IF(interventions!$A84&lt;&gt;"",interventions!$A84&amp;"_cost","")</f>
        <v/>
      </c>
      <c r="CG1" s="2" t="str">
        <f>IF(interventions!$A85&lt;&gt;"",interventions!$A85&amp;"_cost","")</f>
        <v/>
      </c>
      <c r="CH1" s="2" t="str">
        <f>IF(interventions!$A86&lt;&gt;"",interventions!$A86&amp;"_cost","")</f>
        <v/>
      </c>
      <c r="CI1" s="2" t="str">
        <f>IF(interventions!$A87&lt;&gt;"",interventions!$A87&amp;"_cost","")</f>
        <v/>
      </c>
      <c r="CJ1" s="2" t="str">
        <f>IF(interventions!$A88&lt;&gt;"",interventions!$A88&amp;"_cost","")</f>
        <v/>
      </c>
      <c r="CK1" s="2" t="str">
        <f>IF(interventions!$A89&lt;&gt;"",interventions!$A89&amp;"_cost","")</f>
        <v/>
      </c>
      <c r="CL1" s="2" t="str">
        <f>IF(interventions!$A90&lt;&gt;"",interventions!$A90&amp;"_cost","")</f>
        <v/>
      </c>
      <c r="CM1" s="2" t="str">
        <f>IF(interventions!$A91&lt;&gt;"",interventions!$A91&amp;"_cost","")</f>
        <v/>
      </c>
      <c r="CN1" s="2" t="str">
        <f>IF(interventions!$A92&lt;&gt;"",interventions!$A92&amp;"_cost","")</f>
        <v/>
      </c>
      <c r="CO1" s="2" t="str">
        <f>IF(interventions!$A93&lt;&gt;"",interventions!$A93&amp;"_cost","")</f>
        <v/>
      </c>
      <c r="CP1" s="2" t="str">
        <f>IF(interventions!$A94&lt;&gt;"",interventions!$A94&amp;"_cost","")</f>
        <v/>
      </c>
      <c r="CQ1" s="2" t="str">
        <f>IF(interventions!$A95&lt;&gt;"",interventions!$A95&amp;"_cost","")</f>
        <v/>
      </c>
      <c r="CR1" s="2" t="str">
        <f>IF(interventions!$A96&lt;&gt;"",interventions!$A96&amp;"_cost","")</f>
        <v/>
      </c>
      <c r="CS1" s="2" t="str">
        <f>IF(interventions!$A97&lt;&gt;"",interventions!$A97&amp;"_cost","")</f>
        <v/>
      </c>
      <c r="CT1" s="2" t="str">
        <f>IF(interventions!$A98&lt;&gt;"",interventions!$A98&amp;"_cost","")</f>
        <v/>
      </c>
      <c r="CU1" s="2" t="str">
        <f>IF(interventions!$A99&lt;&gt;"",interventions!$A99&amp;"_cost","")</f>
        <v/>
      </c>
      <c r="CV1" s="2" t="str">
        <f>IF(interventions!$A100&lt;&gt;"",interventions!$A100&amp;"_cost","")</f>
        <v/>
      </c>
      <c r="CW1" s="2" t="str">
        <f>IF(interventions!$A101&lt;&gt;"",interventions!$A101&amp;"_cost","")</f>
        <v/>
      </c>
      <c r="CX1" s="2" t="str">
        <f>IF(interventions!$A102&lt;&gt;"",interventions!$A102&amp;"_cost","")</f>
        <v/>
      </c>
      <c r="CY1" s="2" t="str">
        <f>IF(interventions!$A103&lt;&gt;"",interventions!$A103&amp;"_cost","")</f>
        <v/>
      </c>
      <c r="CZ1" s="2" t="str">
        <f>IF(interventions!$A104&lt;&gt;"",interventions!$A104&amp;"_cost","")</f>
        <v/>
      </c>
      <c r="DA1" s="2" t="str">
        <f>IF(interventions!$A105&lt;&gt;"",interventions!$A105&amp;"_cost","")</f>
        <v/>
      </c>
      <c r="DB1" s="2" t="str">
        <f>IF(interventions!$A106&lt;&gt;"",interventions!$A106&amp;"_cost","")</f>
        <v/>
      </c>
      <c r="DC1" s="2" t="str">
        <f>IF(interventions!$A107&lt;&gt;"",interventions!$A107&amp;"_cost","")</f>
        <v/>
      </c>
      <c r="DD1" s="2" t="str">
        <f>IF(interventions!$A108&lt;&gt;"",interventions!$A108&amp;"_cost","")</f>
        <v/>
      </c>
      <c r="DE1" s="2" t="str">
        <f>IF(interventions!$A109&lt;&gt;"",interventions!$A109&amp;"_cost","")</f>
        <v/>
      </c>
      <c r="DF1" s="2" t="str">
        <f>IF(interventions!$A110&lt;&gt;"",interventions!$A110&amp;"_cost","")</f>
        <v/>
      </c>
      <c r="DG1" s="2" t="str">
        <f>IF(interventions!$A111&lt;&gt;"",interventions!$A111&amp;"_cost","")</f>
        <v/>
      </c>
      <c r="DH1" s="2" t="str">
        <f>IF(interventions!$A112&lt;&gt;"",interventions!$A112&amp;"_cost","")</f>
        <v/>
      </c>
      <c r="DI1" s="2" t="str">
        <f>IF(interventions!$A113&lt;&gt;"",interventions!$A113&amp;"_cost","")</f>
        <v/>
      </c>
      <c r="DJ1" s="2" t="str">
        <f>IF(interventions!$A114&lt;&gt;"",interventions!$A114&amp;"_cost","")</f>
        <v/>
      </c>
      <c r="DK1" s="2" t="str">
        <f>IF(interventions!$A115&lt;&gt;"",interventions!$A115&amp;"_cost","")</f>
        <v/>
      </c>
      <c r="DL1" s="2" t="str">
        <f>IF(interventions!$A116&lt;&gt;"",interventions!$A116&amp;"_cost","")</f>
        <v/>
      </c>
      <c r="DM1" s="2" t="str">
        <f>IF(interventions!$A117&lt;&gt;"",interventions!$A117&amp;"_cost","")</f>
        <v/>
      </c>
      <c r="DN1" s="2" t="str">
        <f>IF(interventions!$A118&lt;&gt;"",interventions!$A118&amp;"_cost","")</f>
        <v/>
      </c>
      <c r="DO1" s="2" t="str">
        <f>IF(interventions!$A119&lt;&gt;"",interventions!$A119&amp;"_cost","")</f>
        <v/>
      </c>
      <c r="DP1" s="2" t="str">
        <f>IF(interventions!$A120&lt;&gt;"",interventions!$A120&amp;"_cost","")</f>
        <v/>
      </c>
      <c r="DQ1" s="2" t="str">
        <f>IF(interventions!$A121&lt;&gt;"",interventions!$A121&amp;"_cost","")</f>
        <v/>
      </c>
      <c r="DR1" s="2" t="str">
        <f>IF(interventions!$A122&lt;&gt;"",interventions!$A122&amp;"_cost","")</f>
        <v/>
      </c>
      <c r="DS1" s="2" t="str">
        <f>IF(interventions!$A123&lt;&gt;"",interventions!$A123&amp;"_cost","")</f>
        <v/>
      </c>
      <c r="DT1" s="2" t="str">
        <f>IF(interventions!$A124&lt;&gt;"",interventions!$A124&amp;"_cost","")</f>
        <v/>
      </c>
      <c r="DU1" s="2" t="str">
        <f>IF(interventions!$A125&lt;&gt;"",interventions!$A125&amp;"_cost","")</f>
        <v/>
      </c>
      <c r="DV1" s="2" t="str">
        <f>IF(interventions!$A126&lt;&gt;"",interventions!$A126&amp;"_cost","")</f>
        <v/>
      </c>
      <c r="DW1" s="2" t="str">
        <f>IF(interventions!$A127&lt;&gt;"",interventions!$A127&amp;"_cost","")</f>
        <v/>
      </c>
      <c r="DX1" s="2" t="str">
        <f>IF(interventions!$A128&lt;&gt;"",interventions!$A128&amp;"_cost","")</f>
        <v/>
      </c>
      <c r="DY1" s="2" t="str">
        <f>IF(interventions!$A129&lt;&gt;"",interventions!$A129&amp;"_cost","")</f>
        <v/>
      </c>
      <c r="DZ1" s="2" t="str">
        <f>IF(interventions!$A130&lt;&gt;"",interventions!$A130&amp;"_cost","")</f>
        <v/>
      </c>
      <c r="EA1" s="2" t="str">
        <f>IF(interventions!$A131&lt;&gt;"",interventions!$A131&amp;"_cost","")</f>
        <v/>
      </c>
      <c r="EB1" s="2" t="str">
        <f>IF(interventions!$A132&lt;&gt;"",interventions!$A132&amp;"_cost","")</f>
        <v/>
      </c>
      <c r="EC1" s="2" t="str">
        <f>IF(interventions!$A133&lt;&gt;"",interventions!$A133&amp;"_cost","")</f>
        <v/>
      </c>
      <c r="ED1" s="2" t="str">
        <f>IF(interventions!$A134&lt;&gt;"",interventions!$A134&amp;"_cost","")</f>
        <v/>
      </c>
      <c r="EE1" s="2" t="str">
        <f>IF(interventions!$A135&lt;&gt;"",interventions!$A135&amp;"_cost","")</f>
        <v/>
      </c>
      <c r="EF1" s="2" t="str">
        <f>IF(interventions!$A136&lt;&gt;"",interventions!$A136&amp;"_cost","")</f>
        <v/>
      </c>
      <c r="EG1" s="2" t="str">
        <f>IF(interventions!$A137&lt;&gt;"",interventions!$A137&amp;"_cost","")</f>
        <v/>
      </c>
      <c r="EH1" s="2" t="str">
        <f>IF(interventions!$A138&lt;&gt;"",interventions!$A138&amp;"_cost","")</f>
        <v/>
      </c>
      <c r="EI1" s="2" t="str">
        <f>IF(interventions!$A139&lt;&gt;"",interventions!$A139&amp;"_cost","")</f>
        <v/>
      </c>
      <c r="EJ1" s="2" t="str">
        <f>IF(interventions!$A140&lt;&gt;"",interventions!$A140&amp;"_cost","")</f>
        <v/>
      </c>
      <c r="EK1" s="2" t="str">
        <f>IF(interventions!$A141&lt;&gt;"",interventions!$A141&amp;"_cost","")</f>
        <v/>
      </c>
      <c r="EL1" s="2" t="str">
        <f>IF(interventions!$A142&lt;&gt;"",interventions!$A142&amp;"_cost","")</f>
        <v/>
      </c>
      <c r="EM1" s="2" t="str">
        <f>IF(interventions!$A143&lt;&gt;"",interventions!$A143&amp;"_cost","")</f>
        <v/>
      </c>
      <c r="EN1" s="2" t="str">
        <f>IF(interventions!$A144&lt;&gt;"",interventions!$A144&amp;"_cost","")</f>
        <v/>
      </c>
      <c r="EO1" s="2" t="str">
        <f>IF(interventions!$A145&lt;&gt;"",interventions!$A145&amp;"_cost","")</f>
        <v/>
      </c>
      <c r="EP1" s="2" t="str">
        <f>IF(interventions!$A146&lt;&gt;"",interventions!$A146&amp;"_cost","")</f>
        <v/>
      </c>
      <c r="EQ1" s="2" t="str">
        <f>IF(interventions!$A147&lt;&gt;"",interventions!$A147&amp;"_cost","")</f>
        <v/>
      </c>
      <c r="ER1" s="2" t="str">
        <f>IF(interventions!$A148&lt;&gt;"",interventions!$A148&amp;"_cost","")</f>
        <v/>
      </c>
      <c r="ES1" s="2" t="str">
        <f>IF(interventions!$A149&lt;&gt;"",interventions!$A149&amp;"_cost","")</f>
        <v/>
      </c>
      <c r="ET1" s="2" t="str">
        <f>IF(interventions!$A150&lt;&gt;"",interventions!$A150&amp;"_cost","")</f>
        <v/>
      </c>
      <c r="EU1" s="2" t="str">
        <f>IF(interventions!$A151&lt;&gt;"",interventions!$A151&amp;"_cost","")</f>
        <v/>
      </c>
      <c r="EV1" s="2" t="str">
        <f>IF(interventions!$A152&lt;&gt;"",interventions!$A152&amp;"_cost","")</f>
        <v/>
      </c>
      <c r="EW1" s="2" t="str">
        <f>IF(interventions!$A153&lt;&gt;"",interventions!$A153&amp;"_cost","")</f>
        <v/>
      </c>
      <c r="EX1" s="2" t="str">
        <f>IF(interventions!$A154&lt;&gt;"",interventions!$A154&amp;"_cost","")</f>
        <v/>
      </c>
      <c r="EY1" s="2" t="str">
        <f>IF(interventions!$A155&lt;&gt;"",interventions!$A155&amp;"_cost","")</f>
        <v/>
      </c>
      <c r="EZ1" s="2" t="str">
        <f>IF(interventions!$A156&lt;&gt;"",interventions!$A156&amp;"_cost","")</f>
        <v/>
      </c>
      <c r="FA1" s="2" t="str">
        <f>IF(interventions!$A157&lt;&gt;"",interventions!$A157&amp;"_cost","")</f>
        <v/>
      </c>
      <c r="FB1" s="2" t="str">
        <f>IF(interventions!$A158&lt;&gt;"",interventions!$A158&amp;"_cost","")</f>
        <v/>
      </c>
      <c r="FC1" s="2" t="str">
        <f>IF(interventions!$A159&lt;&gt;"",interventions!$A159&amp;"_cost","")</f>
        <v/>
      </c>
      <c r="FD1" s="2" t="str">
        <f>IF(interventions!$A160&lt;&gt;"",interventions!$A160&amp;"_cost","")</f>
        <v/>
      </c>
      <c r="FE1" s="2" t="str">
        <f>IF(interventions!$A161&lt;&gt;"",interventions!$A161&amp;"_cost","")</f>
        <v/>
      </c>
      <c r="FF1" s="2" t="str">
        <f>IF(interventions!$A162&lt;&gt;"",interventions!$A162&amp;"_cost","")</f>
        <v/>
      </c>
      <c r="FG1" s="2" t="str">
        <f>IF(interventions!$A163&lt;&gt;"",interventions!$A163&amp;"_cost","")</f>
        <v/>
      </c>
      <c r="FH1" s="2" t="str">
        <f>IF(interventions!$A164&lt;&gt;"",interventions!$A164&amp;"_cost","")</f>
        <v/>
      </c>
      <c r="FI1" s="2" t="str">
        <f>IF(interventions!$A165&lt;&gt;"",interventions!$A165&amp;"_cost","")</f>
        <v/>
      </c>
      <c r="FJ1" s="2" t="str">
        <f>IF(interventions!$A166&lt;&gt;"",interventions!$A166&amp;"_cost","")</f>
        <v/>
      </c>
      <c r="FK1" s="2" t="str">
        <f>IF(interventions!$A167&lt;&gt;"",interventions!$A167&amp;"_cost","")</f>
        <v/>
      </c>
      <c r="FL1" s="2" t="str">
        <f>IF(interventions!$A168&lt;&gt;"",interventions!$A168&amp;"_cost","")</f>
        <v/>
      </c>
      <c r="FM1" s="2" t="str">
        <f>IF(interventions!$A169&lt;&gt;"",interventions!$A169&amp;"_cost","")</f>
        <v/>
      </c>
      <c r="FN1" s="2" t="str">
        <f>IF(interventions!$A170&lt;&gt;"",interventions!$A170&amp;"_cost","")</f>
        <v/>
      </c>
      <c r="FO1" s="2" t="str">
        <f>IF(interventions!$A171&lt;&gt;"",interventions!$A171&amp;"_cost","")</f>
        <v/>
      </c>
      <c r="FP1" s="2" t="str">
        <f>IF(interventions!$A172&lt;&gt;"",interventions!$A172&amp;"_cost","")</f>
        <v/>
      </c>
      <c r="FQ1" s="2" t="str">
        <f>IF(interventions!$A173&lt;&gt;"",interventions!$A173&amp;"_cost","")</f>
        <v/>
      </c>
      <c r="FR1" s="2" t="str">
        <f>IF(interventions!$A174&lt;&gt;"",interventions!$A174&amp;"_cost","")</f>
        <v/>
      </c>
      <c r="FS1" s="2" t="str">
        <f>IF(interventions!$A175&lt;&gt;"",interventions!$A175&amp;"_cost","")</f>
        <v/>
      </c>
      <c r="FT1" s="2" t="str">
        <f>IF(interventions!$A176&lt;&gt;"",interventions!$A176&amp;"_cost","")</f>
        <v/>
      </c>
      <c r="FU1" s="2" t="str">
        <f>IF(interventions!$A177&lt;&gt;"",interventions!$A177&amp;"_cost","")</f>
        <v/>
      </c>
      <c r="FV1" s="2" t="str">
        <f>IF(interventions!$A178&lt;&gt;"",interventions!$A178&amp;"_cost","")</f>
        <v/>
      </c>
      <c r="FW1" s="2" t="str">
        <f>IF(interventions!$A179&lt;&gt;"",interventions!$A179&amp;"_cost","")</f>
        <v/>
      </c>
      <c r="FX1" s="2" t="str">
        <f>IF(interventions!$A180&lt;&gt;"",interventions!$A180&amp;"_cost","")</f>
        <v/>
      </c>
      <c r="FY1" s="2" t="str">
        <f>IF(interventions!$A181&lt;&gt;"",interventions!$A181&amp;"_cost","")</f>
        <v/>
      </c>
      <c r="FZ1" s="2" t="str">
        <f>IF(interventions!$A182&lt;&gt;"",interventions!$A182&amp;"_cost","")</f>
        <v/>
      </c>
      <c r="GA1" s="2" t="str">
        <f>IF(interventions!$A183&lt;&gt;"",interventions!$A183&amp;"_cost","")</f>
        <v/>
      </c>
      <c r="GB1" s="2" t="str">
        <f>IF(interventions!$A184&lt;&gt;"",interventions!$A184&amp;"_cost","")</f>
        <v/>
      </c>
      <c r="GC1" s="2" t="str">
        <f>IF(interventions!$A185&lt;&gt;"",interventions!$A185&amp;"_cost","")</f>
        <v/>
      </c>
      <c r="GD1" s="2" t="str">
        <f>IF(interventions!$A186&lt;&gt;"",interventions!$A186&amp;"_cost","")</f>
        <v/>
      </c>
      <c r="GE1" s="2" t="str">
        <f>IF(interventions!$A187&lt;&gt;"",interventions!$A187&amp;"_cost","")</f>
        <v/>
      </c>
      <c r="GF1" s="2" t="str">
        <f>IF(interventions!$A188&lt;&gt;"",interventions!$A188&amp;"_cost","")</f>
        <v/>
      </c>
      <c r="GG1" s="2" t="str">
        <f>IF(interventions!$A189&lt;&gt;"",interventions!$A189&amp;"_cost","")</f>
        <v/>
      </c>
      <c r="GH1" s="2" t="str">
        <f>IF(interventions!$A190&lt;&gt;"",interventions!$A190&amp;"_cost","")</f>
        <v/>
      </c>
      <c r="GI1" s="2" t="str">
        <f>IF(interventions!$A191&lt;&gt;"",interventions!$A191&amp;"_cost","")</f>
        <v/>
      </c>
      <c r="GJ1" s="2" t="str">
        <f>IF(interventions!$A192&lt;&gt;"",interventions!$A192&amp;"_cost","")</f>
        <v/>
      </c>
      <c r="GK1" s="2" t="str">
        <f>IF(interventions!$A193&lt;&gt;"",interventions!$A193&amp;"_cost","")</f>
        <v/>
      </c>
      <c r="GL1" s="2" t="str">
        <f>IF(interventions!$A194&lt;&gt;"",interventions!$A194&amp;"_cost","")</f>
        <v/>
      </c>
      <c r="GM1" s="2" t="str">
        <f>IF(interventions!$A195&lt;&gt;"",interventions!$A195&amp;"_cost","")</f>
        <v/>
      </c>
      <c r="GN1" s="2" t="str">
        <f>IF(interventions!$A196&lt;&gt;"",interventions!$A196&amp;"_cost","")</f>
        <v/>
      </c>
      <c r="GO1" s="2" t="str">
        <f>IF(interventions!$A197&lt;&gt;"",interventions!$A197&amp;"_cost","")</f>
        <v/>
      </c>
      <c r="GP1" s="2" t="str">
        <f>IF(interventions!$A198&lt;&gt;"",interventions!$A198&amp;"_cost","")</f>
        <v/>
      </c>
      <c r="GQ1" s="2" t="str">
        <f>IF(interventions!$A199&lt;&gt;"",interventions!$A199&amp;"_cost","")</f>
        <v/>
      </c>
      <c r="GR1" s="2" t="str">
        <f>IF(interventions!$A200&lt;&gt;"",interventions!$A200&amp;"_cost","")</f>
        <v/>
      </c>
      <c r="GS1" s="2" t="str">
        <f>IF(interventions!$A201&lt;&gt;"",interventions!$A201&amp;"_cost","")</f>
        <v/>
      </c>
      <c r="GT1" s="2" t="str">
        <f>IF(interventions!$A202&lt;&gt;"",interventions!$A202&amp;"_cost","")</f>
        <v/>
      </c>
      <c r="GU1" s="2" t="str">
        <f>IF(interventions!$A203&lt;&gt;"",interventions!$A203&amp;"_cost","")</f>
        <v/>
      </c>
      <c r="GV1" s="2" t="str">
        <f>IF(interventions!$A204&lt;&gt;"",interventions!$A204&amp;"_cost","")</f>
        <v/>
      </c>
      <c r="GW1" s="2" t="str">
        <f>IF(interventions!$A205&lt;&gt;"",interventions!$A205&amp;"_cost","")</f>
        <v/>
      </c>
      <c r="GX1" s="2" t="str">
        <f>IF(interventions!$A206&lt;&gt;"",interventions!$A206&amp;"_cost","")</f>
        <v/>
      </c>
      <c r="GY1" s="2" t="str">
        <f>IF(interventions!$A207&lt;&gt;"",interventions!$A207&amp;"_cost","")</f>
        <v/>
      </c>
      <c r="GZ1" s="2" t="str">
        <f>IF(interventions!$A208&lt;&gt;"",interventions!$A208&amp;"_cost","")</f>
        <v/>
      </c>
      <c r="HA1" s="2" t="str">
        <f>IF(interventions!$A209&lt;&gt;"",interventions!$A209&amp;"_cost","")</f>
        <v/>
      </c>
      <c r="HB1" s="2" t="str">
        <f>IF(interventions!$A210&lt;&gt;"",interventions!$A210&amp;"_cost","")</f>
        <v/>
      </c>
      <c r="HC1" s="2" t="str">
        <f>IF(interventions!$A211&lt;&gt;"",interventions!$A211&amp;"_cost","")</f>
        <v/>
      </c>
      <c r="HD1" s="2" t="str">
        <f>IF(interventions!$A212&lt;&gt;"",interventions!$A212&amp;"_cost","")</f>
        <v/>
      </c>
      <c r="HE1" s="2" t="str">
        <f>IF(interventions!$A213&lt;&gt;"",interventions!$A213&amp;"_cost","")</f>
        <v/>
      </c>
      <c r="HF1" s="2" t="str">
        <f>IF(interventions!$A214&lt;&gt;"",interventions!$A214&amp;"_cost","")</f>
        <v/>
      </c>
      <c r="HG1" s="2" t="str">
        <f>IF(interventions!$A215&lt;&gt;"",interventions!$A215&amp;"_cost","")</f>
        <v/>
      </c>
      <c r="HH1" s="2" t="str">
        <f>IF(interventions!$A216&lt;&gt;"",interventions!$A216&amp;"_cost","")</f>
        <v/>
      </c>
      <c r="HI1" s="2" t="str">
        <f>IF(interventions!$A217&lt;&gt;"",interventions!$A217&amp;"_cost","")</f>
        <v/>
      </c>
      <c r="HJ1" s="2" t="str">
        <f>IF(interventions!$A218&lt;&gt;"",interventions!$A218&amp;"_cost","")</f>
        <v/>
      </c>
      <c r="HK1" s="2" t="str">
        <f>IF(interventions!$A219&lt;&gt;"",interventions!$A219&amp;"_cost","")</f>
        <v/>
      </c>
      <c r="HL1" s="2" t="str">
        <f>IF(interventions!$A220&lt;&gt;"",interventions!$A220&amp;"_cost","")</f>
        <v/>
      </c>
      <c r="HM1" s="2" t="str">
        <f>IF(interventions!$A221&lt;&gt;"",interventions!$A221&amp;"_cost","")</f>
        <v/>
      </c>
      <c r="HN1" s="2" t="str">
        <f>IF(interventions!$A222&lt;&gt;"",interventions!$A222&amp;"_cost","")</f>
        <v/>
      </c>
      <c r="HO1" s="2" t="str">
        <f>IF(interventions!$A223&lt;&gt;"",interventions!$A223&amp;"_cost","")</f>
        <v/>
      </c>
      <c r="HP1" s="2" t="str">
        <f>IF(interventions!$A224&lt;&gt;"",interventions!$A224&amp;"_cost","")</f>
        <v/>
      </c>
      <c r="HQ1" s="2" t="str">
        <f>IF(interventions!$A225&lt;&gt;"",interventions!$A225&amp;"_cost","")</f>
        <v/>
      </c>
      <c r="HR1" s="2" t="str">
        <f>IF(interventions!$A226&lt;&gt;"",interventions!$A226&amp;"_cost","")</f>
        <v/>
      </c>
      <c r="HS1" s="2" t="str">
        <f>IF(interventions!$A227&lt;&gt;"",interventions!$A227&amp;"_cost","")</f>
        <v/>
      </c>
      <c r="HT1" s="2" t="str">
        <f>IF(interventions!$A228&lt;&gt;"",interventions!$A228&amp;"_cost","")</f>
        <v/>
      </c>
      <c r="HU1" s="2" t="str">
        <f>IF(interventions!$A229&lt;&gt;"",interventions!$A229&amp;"_cost","")</f>
        <v/>
      </c>
      <c r="HV1" s="2" t="str">
        <f>IF(interventions!$A230&lt;&gt;"",interventions!$A230&amp;"_cost","")</f>
        <v/>
      </c>
      <c r="HW1" s="2" t="str">
        <f>IF(interventions!$A231&lt;&gt;"",interventions!$A231&amp;"_cost","")</f>
        <v/>
      </c>
      <c r="HX1" s="2" t="str">
        <f>IF(interventions!$A232&lt;&gt;"",interventions!$A232&amp;"_cost","")</f>
        <v/>
      </c>
      <c r="HY1" s="2" t="str">
        <f>IF(interventions!$A233&lt;&gt;"",interventions!$A233&amp;"_cost","")</f>
        <v/>
      </c>
      <c r="HZ1" s="2" t="str">
        <f>IF(interventions!$A234&lt;&gt;"",interventions!$A234&amp;"_cost","")</f>
        <v/>
      </c>
      <c r="IA1" s="2" t="str">
        <f>IF(interventions!$A235&lt;&gt;"",interventions!$A235&amp;"_cost","")</f>
        <v/>
      </c>
      <c r="IB1" s="2" t="str">
        <f>IF(interventions!$A236&lt;&gt;"",interventions!$A236&amp;"_cost","")</f>
        <v/>
      </c>
      <c r="IC1" s="2" t="str">
        <f>IF(interventions!$A237&lt;&gt;"",interventions!$A237&amp;"_cost","")</f>
        <v/>
      </c>
      <c r="ID1" s="2" t="str">
        <f>IF(interventions!$A238&lt;&gt;"",interventions!$A238&amp;"_cost","")</f>
        <v/>
      </c>
      <c r="IE1" s="2" t="str">
        <f>IF(interventions!$A239&lt;&gt;"",interventions!$A239&amp;"_cost","")</f>
        <v/>
      </c>
      <c r="IF1" s="2" t="str">
        <f>IF(interventions!$A240&lt;&gt;"",interventions!$A240&amp;"_cost","")</f>
        <v/>
      </c>
      <c r="IG1" s="2" t="str">
        <f>IF(interventions!$A241&lt;&gt;"",interventions!$A241&amp;"_cost","")</f>
        <v/>
      </c>
      <c r="IH1" s="2" t="str">
        <f>IF(interventions!$A242&lt;&gt;"",interventions!$A242&amp;"_cost","")</f>
        <v/>
      </c>
      <c r="II1" s="2" t="str">
        <f>IF(interventions!$A243&lt;&gt;"",interventions!$A243&amp;"_cost","")</f>
        <v/>
      </c>
      <c r="IJ1" s="2" t="str">
        <f>IF(interventions!$A244&lt;&gt;"",interventions!$A244&amp;"_cost","")</f>
        <v/>
      </c>
      <c r="IK1" s="2" t="str">
        <f>IF(interventions!$A245&lt;&gt;"",interventions!$A245&amp;"_cost","")</f>
        <v/>
      </c>
      <c r="IL1" s="2" t="str">
        <f>IF(interventions!$A246&lt;&gt;"",interventions!$A246&amp;"_cost","")</f>
        <v/>
      </c>
      <c r="IM1" s="2" t="str">
        <f>IF(interventions!$A247&lt;&gt;"",interventions!$A247&amp;"_cost","")</f>
        <v/>
      </c>
      <c r="IN1" s="2" t="str">
        <f>IF(interventions!$A248&lt;&gt;"",interventions!$A248&amp;"_cost","")</f>
        <v/>
      </c>
      <c r="IO1" s="2" t="str">
        <f>IF(interventions!$A249&lt;&gt;"",interventions!$A249&amp;"_cost","")</f>
        <v/>
      </c>
      <c r="IP1" s="2" t="str">
        <f>IF(interventions!$A250&lt;&gt;"",interventions!$A250&amp;"_cost","")</f>
        <v/>
      </c>
      <c r="IQ1" s="2" t="str">
        <f>IF(interventions!$A251&lt;&gt;"",interventions!$A251&amp;"_cost","")</f>
        <v/>
      </c>
      <c r="IR1" s="2" t="str">
        <f>IF(interventions!$A252&lt;&gt;"",interventions!$A252&amp;"_cost","")</f>
        <v/>
      </c>
      <c r="IS1" s="2" t="str">
        <f>IF(interventions!$A253&lt;&gt;"",interventions!$A253&amp;"_cost","")</f>
        <v/>
      </c>
      <c r="IT1" s="2" t="str">
        <f>IF(interventions!$A254&lt;&gt;"",interventions!$A254&amp;"_cost","")</f>
        <v/>
      </c>
      <c r="IU1" s="2" t="str">
        <f>IF(interventions!$A255&lt;&gt;"",interventions!$A255&amp;"_cost","")</f>
        <v/>
      </c>
      <c r="IV1" s="2" t="str">
        <f>IF(interventions!$A256&lt;&gt;"",interventions!$A256&amp;"_cost","")</f>
        <v/>
      </c>
      <c r="IW1" s="2" t="str">
        <f>IF(interventions!$A257&lt;&gt;"",interventions!$A257&amp;"_cost","")</f>
        <v/>
      </c>
      <c r="IX1" s="2" t="str">
        <f>IF(interventions!$A258&lt;&gt;"",interventions!$A258&amp;"_cost","")</f>
        <v/>
      </c>
      <c r="IY1" s="2" t="str">
        <f>IF(interventions!$A259&lt;&gt;"",interventions!$A259&amp;"_cost","")</f>
        <v/>
      </c>
      <c r="IZ1" s="2" t="str">
        <f>IF(interventions!$A260&lt;&gt;"",interventions!$A260&amp;"_cost","")</f>
        <v/>
      </c>
      <c r="JA1" s="2" t="str">
        <f>IF(interventions!$A261&lt;&gt;"",interventions!$A261&amp;"_cost","")</f>
        <v/>
      </c>
      <c r="JB1" s="2" t="str">
        <f>IF(interventions!$A262&lt;&gt;"",interventions!$A262&amp;"_cost","")</f>
        <v/>
      </c>
      <c r="JC1" s="2" t="str">
        <f>IF(interventions!$A263&lt;&gt;"",interventions!$A263&amp;"_cost","")</f>
        <v/>
      </c>
      <c r="JD1" s="2" t="str">
        <f>IF(interventions!$A264&lt;&gt;"",interventions!$A264&amp;"_cost","")</f>
        <v/>
      </c>
      <c r="JE1" s="2" t="str">
        <f>IF(interventions!$A265&lt;&gt;"",interventions!$A265&amp;"_cost","")</f>
        <v/>
      </c>
      <c r="JF1" s="2" t="str">
        <f>IF(interventions!$A266&lt;&gt;"",interventions!$A266&amp;"_cost","")</f>
        <v/>
      </c>
      <c r="JG1" s="2" t="str">
        <f>IF(interventions!$A267&lt;&gt;"",interventions!$A267&amp;"_cost","")</f>
        <v/>
      </c>
      <c r="JH1" s="2" t="str">
        <f>IF(interventions!$A268&lt;&gt;"",interventions!$A268&amp;"_cost","")</f>
        <v/>
      </c>
      <c r="JI1" s="2" t="str">
        <f>IF(interventions!$A269&lt;&gt;"",interventions!$A269&amp;"_cost","")</f>
        <v/>
      </c>
      <c r="JJ1" s="2" t="str">
        <f>IF(interventions!$A270&lt;&gt;"",interventions!$A270&amp;"_cost","")</f>
        <v/>
      </c>
      <c r="JK1" s="2" t="str">
        <f>IF(interventions!$A271&lt;&gt;"",interventions!$A271&amp;"_cost","")</f>
        <v/>
      </c>
      <c r="JL1" s="2" t="str">
        <f>IF(interventions!$A272&lt;&gt;"",interventions!$A272&amp;"_cost","")</f>
        <v/>
      </c>
      <c r="JM1" s="2" t="str">
        <f>IF(interventions!$A273&lt;&gt;"",interventions!$A273&amp;"_cost","")</f>
        <v/>
      </c>
      <c r="JN1" s="2" t="str">
        <f>IF(interventions!$A274&lt;&gt;"",interventions!$A274&amp;"_cost","")</f>
        <v/>
      </c>
      <c r="JO1" s="2" t="str">
        <f>IF(interventions!$A275&lt;&gt;"",interventions!$A275&amp;"_cost","")</f>
        <v/>
      </c>
      <c r="JP1" s="2" t="str">
        <f>IF(interventions!$A276&lt;&gt;"",interventions!$A276&amp;"_cost","")</f>
        <v/>
      </c>
      <c r="JQ1" s="2" t="str">
        <f>IF(interventions!$A277&lt;&gt;"",interventions!$A277&amp;"_cost","")</f>
        <v/>
      </c>
      <c r="JR1" s="2" t="str">
        <f>IF(interventions!$A278&lt;&gt;"",interventions!$A278&amp;"_cost","")</f>
        <v/>
      </c>
      <c r="JS1" s="2" t="str">
        <f>IF(interventions!$A279&lt;&gt;"",interventions!$A279&amp;"_cost","")</f>
        <v/>
      </c>
      <c r="JT1" s="2" t="str">
        <f>IF(interventions!$A280&lt;&gt;"",interventions!$A280&amp;"_cost","")</f>
        <v/>
      </c>
      <c r="JU1" s="2" t="str">
        <f>IF(interventions!$A281&lt;&gt;"",interventions!$A281&amp;"_cost","")</f>
        <v/>
      </c>
      <c r="JV1" s="2" t="str">
        <f>IF(interventions!$A282&lt;&gt;"",interventions!$A282&amp;"_cost","")</f>
        <v/>
      </c>
      <c r="JW1" s="2" t="str">
        <f>IF(interventions!$A283&lt;&gt;"",interventions!$A283&amp;"_cost","")</f>
        <v/>
      </c>
      <c r="JX1" s="2" t="str">
        <f>IF(interventions!$A284&lt;&gt;"",interventions!$A284&amp;"_cost","")</f>
        <v/>
      </c>
      <c r="JY1" s="2" t="str">
        <f>IF(interventions!$A285&lt;&gt;"",interventions!$A285&amp;"_cost","")</f>
        <v/>
      </c>
      <c r="JZ1" s="2" t="str">
        <f>IF(interventions!$A286&lt;&gt;"",interventions!$A286&amp;"_cost","")</f>
        <v/>
      </c>
      <c r="KA1" s="2" t="str">
        <f>IF(interventions!$A287&lt;&gt;"",interventions!$A287&amp;"_cost","")</f>
        <v/>
      </c>
      <c r="KB1" s="2" t="str">
        <f>IF(interventions!$A288&lt;&gt;"",interventions!$A288&amp;"_cost","")</f>
        <v/>
      </c>
      <c r="KC1" s="2" t="str">
        <f>IF(interventions!$A289&lt;&gt;"",interventions!$A289&amp;"_cost","")</f>
        <v/>
      </c>
      <c r="KD1" s="2" t="str">
        <f>IF(interventions!$A290&lt;&gt;"",interventions!$A290&amp;"_cost","")</f>
        <v/>
      </c>
      <c r="KE1" s="2" t="str">
        <f>IF(interventions!$A291&lt;&gt;"",interventions!$A291&amp;"_cost","")</f>
        <v/>
      </c>
      <c r="KF1" s="2" t="str">
        <f>IF(interventions!$A292&lt;&gt;"",interventions!$A292&amp;"_cost","")</f>
        <v/>
      </c>
      <c r="KG1" s="2" t="str">
        <f>IF(interventions!$A293&lt;&gt;"",interventions!$A293&amp;"_cost","")</f>
        <v/>
      </c>
      <c r="KH1" s="2" t="str">
        <f>IF(interventions!$A294&lt;&gt;"",interventions!$A294&amp;"_cost","")</f>
        <v/>
      </c>
      <c r="KI1" s="2" t="str">
        <f>IF(interventions!$A295&lt;&gt;"",interventions!$A295&amp;"_cost","")</f>
        <v/>
      </c>
      <c r="KJ1" s="2" t="str">
        <f>IF(interventions!$A296&lt;&gt;"",interventions!$A296&amp;"_cost","")</f>
        <v/>
      </c>
    </row>
    <row r="2" spans="1:296" x14ac:dyDescent="0.35">
      <c r="A2" s="2" t="str">
        <f>IF(facility!$A2&lt;&gt;"",facility!$A2,"")</f>
        <v>Mt_Darwin</v>
      </c>
      <c r="B2" s="1">
        <f>'implementation costs'!B2*0.03</f>
        <v>93</v>
      </c>
      <c r="C2" s="1">
        <v>0</v>
      </c>
      <c r="D2" s="1">
        <f>'implementation costs'!D2*0.03</f>
        <v>27</v>
      </c>
      <c r="E2" s="1">
        <f>'implementation costs'!E2*0.03</f>
        <v>57</v>
      </c>
      <c r="F2" s="1">
        <f>'implementation costs'!F2*0.03</f>
        <v>27</v>
      </c>
      <c r="G2" s="1">
        <f>'implementation costs'!G2*0.03</f>
        <v>23.4</v>
      </c>
      <c r="H2" s="1">
        <f>'implementation costs'!H2*0.03</f>
        <v>117</v>
      </c>
      <c r="I2" s="1">
        <f>'implementation costs'!I2*0.03</f>
        <v>234</v>
      </c>
      <c r="J2" s="1">
        <v>0</v>
      </c>
      <c r="K2" s="1">
        <v>0</v>
      </c>
      <c r="L2" s="1">
        <v>0</v>
      </c>
      <c r="M2" s="1">
        <v>0</v>
      </c>
    </row>
    <row r="3" spans="1:296" x14ac:dyDescent="0.35">
      <c r="A3" s="2" t="str">
        <f>IF(facility!$A3&lt;&gt;"",facility!$A3,"")</f>
        <v/>
      </c>
      <c r="B3" s="1"/>
      <c r="C3" s="1"/>
      <c r="D3" s="1"/>
    </row>
    <row r="4" spans="1:296" x14ac:dyDescent="0.35">
      <c r="A4" s="2" t="str">
        <f>IF(facility!$A4&lt;&gt;"",facility!$A4,"")</f>
        <v/>
      </c>
      <c r="B4" s="1"/>
      <c r="C4" s="1"/>
      <c r="D4" s="1"/>
    </row>
    <row r="5" spans="1:296" x14ac:dyDescent="0.35">
      <c r="A5" s="2" t="str">
        <f>IF(facility!$A5&lt;&gt;"",facility!$A5,"")</f>
        <v/>
      </c>
      <c r="B5" s="1"/>
      <c r="C5" s="1"/>
      <c r="D5" s="1"/>
    </row>
    <row r="6" spans="1:296" x14ac:dyDescent="0.35">
      <c r="A6" s="2" t="str">
        <f>IF(facility!$A6&lt;&gt;"",facility!$A6,"")</f>
        <v/>
      </c>
      <c r="B6" s="1"/>
      <c r="C6" s="1"/>
      <c r="D6" s="1"/>
    </row>
    <row r="7" spans="1:296" x14ac:dyDescent="0.35">
      <c r="A7" s="2" t="str">
        <f>IF(facility!$A7&lt;&gt;"",facility!$A7,"")</f>
        <v/>
      </c>
      <c r="B7" s="1"/>
      <c r="C7" s="1"/>
      <c r="D7" s="1"/>
    </row>
    <row r="8" spans="1:296" x14ac:dyDescent="0.35">
      <c r="A8" s="2" t="str">
        <f>IF(facility!$A8&lt;&gt;"",facility!$A8,"")</f>
        <v/>
      </c>
      <c r="B8" s="1"/>
      <c r="C8" s="1"/>
      <c r="D8" s="1"/>
    </row>
    <row r="9" spans="1:296" x14ac:dyDescent="0.35">
      <c r="A9" s="2" t="str">
        <f>IF(facility!$A9&lt;&gt;"",facility!$A9,"")</f>
        <v/>
      </c>
      <c r="B9" s="1"/>
      <c r="C9" s="1"/>
      <c r="D9" s="1"/>
    </row>
    <row r="10" spans="1:296" x14ac:dyDescent="0.35">
      <c r="A10" s="2" t="str">
        <f>IF(facility!$A10&lt;&gt;"",facility!$A10,"")</f>
        <v/>
      </c>
      <c r="B10" s="1"/>
    </row>
    <row r="11" spans="1:296" x14ac:dyDescent="0.35">
      <c r="A11" s="2" t="str">
        <f>IF(facility!$A11&lt;&gt;"",facility!$A11,"")</f>
        <v/>
      </c>
      <c r="B11" s="1"/>
    </row>
    <row r="12" spans="1:296" x14ac:dyDescent="0.35">
      <c r="A12" s="2" t="str">
        <f>IF(facility!$A12&lt;&gt;"",facility!$A12,"")</f>
        <v/>
      </c>
      <c r="B12" s="1"/>
    </row>
    <row r="13" spans="1:296" x14ac:dyDescent="0.35">
      <c r="A13" s="2" t="str">
        <f>IF(facility!$A13&lt;&gt;"",facility!$A13,"")</f>
        <v/>
      </c>
      <c r="B13" s="1"/>
    </row>
    <row r="14" spans="1:296" x14ac:dyDescent="0.35">
      <c r="A14" s="2" t="str">
        <f>IF(facility!$A14&lt;&gt;"",facility!$A14,"")</f>
        <v/>
      </c>
      <c r="B14" s="1"/>
    </row>
    <row r="15" spans="1:296" x14ac:dyDescent="0.35">
      <c r="A15" s="2" t="str">
        <f>IF(facility!$A15&lt;&gt;"",facility!$A15,"")</f>
        <v/>
      </c>
      <c r="B15" s="1"/>
    </row>
    <row r="16" spans="1:296" x14ac:dyDescent="0.35">
      <c r="A16" s="2" t="str">
        <f>IF(facility!$A16&lt;&gt;"",facility!$A16,"")</f>
        <v/>
      </c>
      <c r="B16" s="1"/>
    </row>
    <row r="17" spans="1:2" x14ac:dyDescent="0.35">
      <c r="A17" s="2" t="str">
        <f>IF(facility!$A17&lt;&gt;"",facility!$A17,"")</f>
        <v/>
      </c>
      <c r="B17" s="1"/>
    </row>
    <row r="18" spans="1:2" x14ac:dyDescent="0.35">
      <c r="A18" s="2" t="str">
        <f>IF(facility!$A18&lt;&gt;"",facility!$A18,"")</f>
        <v/>
      </c>
      <c r="B18" s="1"/>
    </row>
    <row r="19" spans="1:2" x14ac:dyDescent="0.35">
      <c r="A19" s="2" t="str">
        <f>IF(facility!$A19&lt;&gt;"",facility!$A19,"")</f>
        <v/>
      </c>
      <c r="B19" s="1"/>
    </row>
    <row r="20" spans="1:2" x14ac:dyDescent="0.35">
      <c r="A20" s="2" t="str">
        <f>IF(facility!$A20&lt;&gt;"",facility!$A20,"")</f>
        <v/>
      </c>
      <c r="B20" s="1"/>
    </row>
    <row r="21" spans="1:2" x14ac:dyDescent="0.35">
      <c r="A21" s="2" t="str">
        <f>IF(facility!$A21&lt;&gt;"",facility!$A21,"")</f>
        <v/>
      </c>
      <c r="B21" s="1"/>
    </row>
    <row r="22" spans="1:2" x14ac:dyDescent="0.35">
      <c r="A22" s="2" t="str">
        <f>IF(facility!$A22&lt;&gt;"",facility!$A22,"")</f>
        <v/>
      </c>
      <c r="B22" s="1"/>
    </row>
    <row r="23" spans="1:2" x14ac:dyDescent="0.35">
      <c r="A23" s="2" t="str">
        <f>IF(facility!$A23&lt;&gt;"",facility!$A23,"")</f>
        <v/>
      </c>
      <c r="B23" s="1"/>
    </row>
    <row r="24" spans="1:2" x14ac:dyDescent="0.35">
      <c r="A24" s="2" t="str">
        <f>IF(facility!$A24&lt;&gt;"",facility!$A24,"")</f>
        <v/>
      </c>
      <c r="B24" s="1"/>
    </row>
    <row r="25" spans="1:2" x14ac:dyDescent="0.35">
      <c r="A25" s="2" t="str">
        <f>IF(facility!$A25&lt;&gt;"",facility!$A25,"")</f>
        <v/>
      </c>
      <c r="B25" s="1"/>
    </row>
    <row r="26" spans="1:2" x14ac:dyDescent="0.35">
      <c r="A26" s="2" t="str">
        <f>IF(facility!$A26&lt;&gt;"",facility!$A26,"")</f>
        <v/>
      </c>
      <c r="B26" s="1"/>
    </row>
    <row r="27" spans="1:2" x14ac:dyDescent="0.35">
      <c r="A27" s="2" t="str">
        <f>IF(facility!$A27&lt;&gt;"",facility!$A27,"")</f>
        <v/>
      </c>
      <c r="B27" s="1"/>
    </row>
    <row r="28" spans="1:2" x14ac:dyDescent="0.35">
      <c r="A28" s="2" t="str">
        <f>IF(facility!$A28&lt;&gt;"",facility!$A28,"")</f>
        <v/>
      </c>
      <c r="B28" s="1"/>
    </row>
    <row r="29" spans="1:2" x14ac:dyDescent="0.35">
      <c r="A29" s="2" t="str">
        <f>IF(facility!$A29&lt;&gt;"",facility!$A29,"")</f>
        <v/>
      </c>
      <c r="B29" s="1"/>
    </row>
    <row r="30" spans="1:2" x14ac:dyDescent="0.35">
      <c r="A30" s="2" t="str">
        <f>IF(facility!$A30&lt;&gt;"",facility!$A30,"")</f>
        <v/>
      </c>
      <c r="B30" s="1"/>
    </row>
    <row r="31" spans="1:2" x14ac:dyDescent="0.35">
      <c r="A31" s="2" t="str">
        <f>IF(facility!$A31&lt;&gt;"",facility!$A31,"")</f>
        <v/>
      </c>
      <c r="B31" s="1"/>
    </row>
    <row r="32" spans="1:2" x14ac:dyDescent="0.35">
      <c r="A32" s="2" t="str">
        <f>IF(facility!$A32&lt;&gt;"",facility!$A32,"")</f>
        <v/>
      </c>
      <c r="B32" s="1"/>
    </row>
    <row r="33" spans="1:2" x14ac:dyDescent="0.35">
      <c r="A33" s="2" t="str">
        <f>IF(facility!$A33&lt;&gt;"",facility!$A33,"")</f>
        <v/>
      </c>
      <c r="B33" s="1"/>
    </row>
    <row r="34" spans="1:2" x14ac:dyDescent="0.35">
      <c r="A34" s="2" t="str">
        <f>IF(facility!$A34&lt;&gt;"",facility!$A34,"")</f>
        <v/>
      </c>
      <c r="B34" s="1"/>
    </row>
    <row r="35" spans="1:2" x14ac:dyDescent="0.35">
      <c r="A35" s="2" t="str">
        <f>IF(facility!$A35&lt;&gt;"",facility!$A35,"")</f>
        <v/>
      </c>
      <c r="B35" s="1"/>
    </row>
    <row r="36" spans="1:2" x14ac:dyDescent="0.35">
      <c r="A36" s="2" t="str">
        <f>IF(facility!$A36&lt;&gt;"",facility!$A36,"")</f>
        <v/>
      </c>
      <c r="B36" s="1"/>
    </row>
    <row r="37" spans="1:2" x14ac:dyDescent="0.35">
      <c r="A37" s="2" t="str">
        <f>IF(facility!$A37&lt;&gt;"",facility!$A37,"")</f>
        <v/>
      </c>
      <c r="B37" s="1"/>
    </row>
    <row r="38" spans="1:2" x14ac:dyDescent="0.35">
      <c r="A38" s="2" t="str">
        <f>IF(facility!$A38&lt;&gt;"",facility!$A38,"")</f>
        <v/>
      </c>
      <c r="B38" s="1"/>
    </row>
    <row r="39" spans="1:2" x14ac:dyDescent="0.35">
      <c r="A39" s="2" t="str">
        <f>IF(facility!$A39&lt;&gt;"",facility!$A39,"")</f>
        <v/>
      </c>
      <c r="B39" s="1"/>
    </row>
    <row r="40" spans="1:2" x14ac:dyDescent="0.35">
      <c r="A40" s="2" t="str">
        <f>IF(facility!$A40&lt;&gt;"",facility!$A40,"")</f>
        <v/>
      </c>
      <c r="B40" s="1"/>
    </row>
    <row r="41" spans="1:2" x14ac:dyDescent="0.35">
      <c r="A41" s="2" t="str">
        <f>IF(facility!$A41&lt;&gt;"",facility!$A41,"")</f>
        <v/>
      </c>
      <c r="B41" s="1"/>
    </row>
    <row r="42" spans="1:2" x14ac:dyDescent="0.35">
      <c r="A42" s="2" t="str">
        <f>IF(facility!$A42&lt;&gt;"",facility!$A42,"")</f>
        <v/>
      </c>
      <c r="B42" s="1"/>
    </row>
    <row r="43" spans="1:2" x14ac:dyDescent="0.35">
      <c r="A43" s="2" t="str">
        <f>IF(facility!$A43&lt;&gt;"",facility!$A43,"")</f>
        <v/>
      </c>
      <c r="B43" s="1"/>
    </row>
    <row r="44" spans="1:2" x14ac:dyDescent="0.35">
      <c r="A44" s="2" t="str">
        <f>IF(facility!$A44&lt;&gt;"",facility!$A44,"")</f>
        <v/>
      </c>
      <c r="B44" s="1"/>
    </row>
    <row r="45" spans="1:2" x14ac:dyDescent="0.35">
      <c r="A45" s="2" t="str">
        <f>IF(facility!$A45&lt;&gt;"",facility!$A45,"")</f>
        <v/>
      </c>
      <c r="B45" s="1"/>
    </row>
    <row r="46" spans="1:2" x14ac:dyDescent="0.35">
      <c r="A46" s="2" t="str">
        <f>IF(facility!$A46&lt;&gt;"",facility!$A46,"")</f>
        <v/>
      </c>
      <c r="B46" s="1"/>
    </row>
    <row r="47" spans="1:2" x14ac:dyDescent="0.35">
      <c r="A47" s="2" t="str">
        <f>IF(facility!$A47&lt;&gt;"",facility!$A47,"")</f>
        <v/>
      </c>
      <c r="B47" s="1"/>
    </row>
    <row r="48" spans="1:2" x14ac:dyDescent="0.35">
      <c r="A48" s="2" t="str">
        <f>IF(facility!$A48&lt;&gt;"",facility!$A48,"")</f>
        <v/>
      </c>
      <c r="B48" s="1"/>
    </row>
    <row r="49" spans="1:2" x14ac:dyDescent="0.35">
      <c r="A49" s="2" t="str">
        <f>IF(facility!$A49&lt;&gt;"",facility!$A49,"")</f>
        <v/>
      </c>
      <c r="B49" s="1"/>
    </row>
    <row r="50" spans="1:2" x14ac:dyDescent="0.35">
      <c r="A50" s="2" t="str">
        <f>IF(facility!$A50&lt;&gt;"",facility!$A50,"")</f>
        <v/>
      </c>
      <c r="B50" s="1"/>
    </row>
    <row r="51" spans="1:2" x14ac:dyDescent="0.35">
      <c r="A51" s="2" t="str">
        <f>IF(facility!$A51&lt;&gt;"",facility!$A51,"")</f>
        <v/>
      </c>
      <c r="B51" s="1"/>
    </row>
    <row r="52" spans="1:2" x14ac:dyDescent="0.35">
      <c r="A52" s="2" t="str">
        <f>IF(facility!$A52&lt;&gt;"",facility!$A52,"")</f>
        <v/>
      </c>
      <c r="B52" s="1"/>
    </row>
    <row r="53" spans="1:2" x14ac:dyDescent="0.35">
      <c r="A53" s="2" t="str">
        <f>IF(facility!$A53&lt;&gt;"",facility!$A53,"")</f>
        <v/>
      </c>
      <c r="B53" s="1"/>
    </row>
    <row r="54" spans="1:2" x14ac:dyDescent="0.35">
      <c r="A54" s="2" t="str">
        <f>IF(facility!$A54&lt;&gt;"",facility!$A54,"")</f>
        <v/>
      </c>
      <c r="B54" s="1"/>
    </row>
    <row r="55" spans="1:2" x14ac:dyDescent="0.35">
      <c r="A55" s="2" t="str">
        <f>IF(facility!$A55&lt;&gt;"",facility!$A55,"")</f>
        <v/>
      </c>
      <c r="B55" s="1"/>
    </row>
    <row r="56" spans="1:2" x14ac:dyDescent="0.35">
      <c r="A56" s="2" t="str">
        <f>IF(facility!$A56&lt;&gt;"",facility!$A56,"")</f>
        <v/>
      </c>
      <c r="B56" s="1"/>
    </row>
    <row r="57" spans="1:2" x14ac:dyDescent="0.35">
      <c r="A57" s="2" t="str">
        <f>IF(facility!$A57&lt;&gt;"",facility!$A57,"")</f>
        <v/>
      </c>
      <c r="B57" s="1"/>
    </row>
    <row r="58" spans="1:2" x14ac:dyDescent="0.35">
      <c r="A58" s="2" t="str">
        <f>IF(facility!$A58&lt;&gt;"",facility!$A58,"")</f>
        <v/>
      </c>
      <c r="B58" s="1"/>
    </row>
    <row r="59" spans="1:2" x14ac:dyDescent="0.35">
      <c r="A59" s="2" t="str">
        <f>IF(facility!$A59&lt;&gt;"",facility!$A59,"")</f>
        <v/>
      </c>
      <c r="B59" s="1"/>
    </row>
    <row r="60" spans="1:2" x14ac:dyDescent="0.35">
      <c r="A60" s="2" t="str">
        <f>IF(facility!$A60&lt;&gt;"",facility!$A60,"")</f>
        <v/>
      </c>
      <c r="B60" s="1"/>
    </row>
    <row r="61" spans="1:2" x14ac:dyDescent="0.35">
      <c r="A61" s="2" t="str">
        <f>IF(facility!$A61&lt;&gt;"",facility!$A61,"")</f>
        <v/>
      </c>
      <c r="B61" s="1"/>
    </row>
    <row r="62" spans="1:2" x14ac:dyDescent="0.35">
      <c r="A62" s="2" t="str">
        <f>IF(facility!$A62&lt;&gt;"",facility!$A62,"")</f>
        <v/>
      </c>
      <c r="B62" s="1"/>
    </row>
    <row r="63" spans="1:2" x14ac:dyDescent="0.35">
      <c r="A63" s="2" t="str">
        <f>IF(facility!$A63&lt;&gt;"",facility!$A63,"")</f>
        <v/>
      </c>
      <c r="B63" s="1"/>
    </row>
    <row r="64" spans="1:2" x14ac:dyDescent="0.35">
      <c r="A64" s="2" t="str">
        <f>IF(facility!$A64&lt;&gt;"",facility!$A64,"")</f>
        <v/>
      </c>
      <c r="B64" s="1"/>
    </row>
    <row r="65" spans="1:2" x14ac:dyDescent="0.35">
      <c r="A65" s="2" t="str">
        <f>IF(facility!$A65&lt;&gt;"",facility!$A65,"")</f>
        <v/>
      </c>
      <c r="B65" s="1"/>
    </row>
    <row r="66" spans="1:2" x14ac:dyDescent="0.35">
      <c r="A66" s="2" t="str">
        <f>IF(facility!$A66&lt;&gt;"",facility!$A66,"")</f>
        <v/>
      </c>
      <c r="B66" s="1"/>
    </row>
    <row r="67" spans="1:2" x14ac:dyDescent="0.35">
      <c r="A67" s="2" t="str">
        <f>IF(facility!$A67&lt;&gt;"",facility!$A67,"")</f>
        <v/>
      </c>
      <c r="B67" s="1"/>
    </row>
    <row r="68" spans="1:2" x14ac:dyDescent="0.35">
      <c r="A68" s="2" t="str">
        <f>IF(facility!$A68&lt;&gt;"",facility!$A68,"")</f>
        <v/>
      </c>
      <c r="B68" s="1"/>
    </row>
    <row r="69" spans="1:2" x14ac:dyDescent="0.35">
      <c r="A69" s="2" t="str">
        <f>IF(facility!$A69&lt;&gt;"",facility!$A69,"")</f>
        <v/>
      </c>
      <c r="B69" s="1"/>
    </row>
    <row r="70" spans="1:2" x14ac:dyDescent="0.35">
      <c r="A70" s="2" t="str">
        <f>IF(facility!$A70&lt;&gt;"",facility!$A70,"")</f>
        <v/>
      </c>
      <c r="B70" s="1"/>
    </row>
    <row r="71" spans="1:2" x14ac:dyDescent="0.35">
      <c r="A71" s="2" t="str">
        <f>IF(facility!$A71&lt;&gt;"",facility!$A71,"")</f>
        <v/>
      </c>
      <c r="B71" s="1"/>
    </row>
    <row r="72" spans="1:2" x14ac:dyDescent="0.35">
      <c r="A72" s="2" t="str">
        <f>IF(facility!$A72&lt;&gt;"",facility!$A72,"")</f>
        <v/>
      </c>
      <c r="B72" s="1"/>
    </row>
    <row r="73" spans="1:2" x14ac:dyDescent="0.35">
      <c r="A73" s="2" t="str">
        <f>IF(facility!$A73&lt;&gt;"",facility!$A73,"")</f>
        <v/>
      </c>
      <c r="B73" s="1"/>
    </row>
    <row r="74" spans="1:2" x14ac:dyDescent="0.35">
      <c r="A74" s="2" t="str">
        <f>IF(facility!$A74&lt;&gt;"",facility!$A74,"")</f>
        <v/>
      </c>
      <c r="B74" s="1"/>
    </row>
    <row r="75" spans="1:2" x14ac:dyDescent="0.35">
      <c r="A75" s="2" t="str">
        <f>IF(facility!$A75&lt;&gt;"",facility!$A75,"")</f>
        <v/>
      </c>
      <c r="B75" s="1"/>
    </row>
    <row r="76" spans="1:2" x14ac:dyDescent="0.35">
      <c r="A76" s="2" t="str">
        <f>IF(facility!$A76&lt;&gt;"",facility!$A76,"")</f>
        <v/>
      </c>
      <c r="B76" s="1"/>
    </row>
    <row r="77" spans="1:2" x14ac:dyDescent="0.35">
      <c r="A77" s="2" t="str">
        <f>IF(facility!$A77&lt;&gt;"",facility!$A77,"")</f>
        <v/>
      </c>
      <c r="B77" s="1"/>
    </row>
    <row r="78" spans="1:2" x14ac:dyDescent="0.35">
      <c r="A78" s="2" t="str">
        <f>IF(facility!$A78&lt;&gt;"",facility!$A78,"")</f>
        <v/>
      </c>
      <c r="B78" s="1"/>
    </row>
    <row r="79" spans="1:2" x14ac:dyDescent="0.35">
      <c r="A79" s="2" t="str">
        <f>IF(facility!$A79&lt;&gt;"",facility!$A79,"")</f>
        <v/>
      </c>
      <c r="B79" s="1"/>
    </row>
    <row r="80" spans="1:2" x14ac:dyDescent="0.35">
      <c r="A80" s="2" t="str">
        <f>IF(facility!$A80&lt;&gt;"",facility!$A80,"")</f>
        <v/>
      </c>
      <c r="B80" s="1"/>
    </row>
    <row r="81" spans="1:2" x14ac:dyDescent="0.35">
      <c r="A81" s="2" t="str">
        <f>IF(facility!$A81&lt;&gt;"",facility!$A81,"")</f>
        <v/>
      </c>
      <c r="B81" s="1"/>
    </row>
    <row r="82" spans="1:2" x14ac:dyDescent="0.35">
      <c r="A82" s="2" t="str">
        <f>IF(facility!$A82&lt;&gt;"",facility!$A82,"")</f>
        <v/>
      </c>
      <c r="B82" s="1"/>
    </row>
    <row r="83" spans="1:2" x14ac:dyDescent="0.35">
      <c r="A83" s="2" t="str">
        <f>IF(facility!$A83&lt;&gt;"",facility!$A83,"")</f>
        <v/>
      </c>
      <c r="B83" s="1"/>
    </row>
    <row r="84" spans="1:2" x14ac:dyDescent="0.35">
      <c r="A84" s="2" t="str">
        <f>IF(facility!$A84&lt;&gt;"",facility!$A84,"")</f>
        <v/>
      </c>
      <c r="B84" s="1"/>
    </row>
    <row r="85" spans="1:2" x14ac:dyDescent="0.35">
      <c r="A85" s="2" t="str">
        <f>IF(facility!$A85&lt;&gt;"",facility!$A85,"")</f>
        <v/>
      </c>
      <c r="B85" s="1"/>
    </row>
    <row r="86" spans="1:2" x14ac:dyDescent="0.35">
      <c r="A86" s="2" t="str">
        <f>IF(facility!$A86&lt;&gt;"",facility!$A86,"")</f>
        <v/>
      </c>
      <c r="B86" s="1"/>
    </row>
    <row r="87" spans="1:2" x14ac:dyDescent="0.35">
      <c r="A87" s="2" t="str">
        <f>IF(facility!$A87&lt;&gt;"",facility!$A87,"")</f>
        <v/>
      </c>
      <c r="B87" s="1"/>
    </row>
    <row r="88" spans="1:2" x14ac:dyDescent="0.35">
      <c r="A88" s="2" t="str">
        <f>IF(facility!$A88&lt;&gt;"",facility!$A88,"")</f>
        <v/>
      </c>
      <c r="B88" s="1"/>
    </row>
    <row r="89" spans="1:2" x14ac:dyDescent="0.35">
      <c r="A89" s="2" t="str">
        <f>IF(facility!$A89&lt;&gt;"",facility!$A89,"")</f>
        <v/>
      </c>
      <c r="B89" s="1"/>
    </row>
    <row r="90" spans="1:2" x14ac:dyDescent="0.35">
      <c r="A90" s="2" t="str">
        <f>IF(facility!$A90&lt;&gt;"",facility!$A90,"")</f>
        <v/>
      </c>
      <c r="B90" s="1"/>
    </row>
    <row r="91" spans="1:2" x14ac:dyDescent="0.35">
      <c r="A91" s="2" t="str">
        <f>IF(facility!$A91&lt;&gt;"",facility!$A91,"")</f>
        <v/>
      </c>
      <c r="B91" s="1"/>
    </row>
    <row r="92" spans="1:2" x14ac:dyDescent="0.35">
      <c r="A92" s="2" t="str">
        <f>IF(facility!$A92&lt;&gt;"",facility!$A92,"")</f>
        <v/>
      </c>
      <c r="B92" s="1"/>
    </row>
    <row r="93" spans="1:2" x14ac:dyDescent="0.35">
      <c r="A93" s="2" t="str">
        <f>IF(facility!$A93&lt;&gt;"",facility!$A93,"")</f>
        <v/>
      </c>
      <c r="B93" s="1"/>
    </row>
    <row r="94" spans="1:2" x14ac:dyDescent="0.35">
      <c r="A94" s="2" t="str">
        <f>IF(facility!$A94&lt;&gt;"",facility!$A94,"")</f>
        <v/>
      </c>
      <c r="B94" s="1"/>
    </row>
    <row r="95" spans="1:2" x14ac:dyDescent="0.35">
      <c r="A95" s="2" t="str">
        <f>IF(facility!$A95&lt;&gt;"",facility!$A95,"")</f>
        <v/>
      </c>
      <c r="B95" s="1"/>
    </row>
    <row r="96" spans="1:2" x14ac:dyDescent="0.35">
      <c r="A96" s="2" t="str">
        <f>IF(facility!$A96&lt;&gt;"",facility!$A96,"")</f>
        <v/>
      </c>
      <c r="B96" s="1"/>
    </row>
    <row r="97" spans="1:2" x14ac:dyDescent="0.35">
      <c r="A97" s="2" t="str">
        <f>IF(facility!$A97&lt;&gt;"",facility!$A97,"")</f>
        <v/>
      </c>
      <c r="B97" s="1"/>
    </row>
    <row r="98" spans="1:2" x14ac:dyDescent="0.35">
      <c r="A98" s="2" t="str">
        <f>IF(facility!$A98&lt;&gt;"",facility!$A98,"")</f>
        <v/>
      </c>
      <c r="B98" s="1"/>
    </row>
    <row r="99" spans="1:2" x14ac:dyDescent="0.35">
      <c r="A99" s="2" t="str">
        <f>IF(facility!$A99&lt;&gt;"",facility!$A99,"")</f>
        <v/>
      </c>
      <c r="B99" s="1"/>
    </row>
    <row r="100" spans="1:2" x14ac:dyDescent="0.35">
      <c r="A100" s="2" t="str">
        <f>IF(facility!$A100&lt;&gt;"",facility!$A100,"")</f>
        <v/>
      </c>
      <c r="B100" s="1"/>
    </row>
    <row r="101" spans="1:2" x14ac:dyDescent="0.35">
      <c r="A101" s="2" t="str">
        <f>IF(facility!$A101&lt;&gt;"",facility!$A101,"")</f>
        <v/>
      </c>
      <c r="B101" s="1"/>
    </row>
    <row r="102" spans="1:2" x14ac:dyDescent="0.35">
      <c r="A102" s="2" t="str">
        <f>IF(facility!$A102&lt;&gt;"",facility!$A102,"")</f>
        <v/>
      </c>
      <c r="B102" s="1"/>
    </row>
    <row r="103" spans="1:2" x14ac:dyDescent="0.35">
      <c r="A103" s="2" t="str">
        <f>IF(facility!$A103&lt;&gt;"",facility!$A103,"")</f>
        <v/>
      </c>
      <c r="B103" s="1"/>
    </row>
    <row r="104" spans="1:2" x14ac:dyDescent="0.35">
      <c r="A104" s="2" t="str">
        <f>IF(facility!$A104&lt;&gt;"",facility!$A104,"")</f>
        <v/>
      </c>
      <c r="B104" s="1"/>
    </row>
    <row r="105" spans="1:2" x14ac:dyDescent="0.35">
      <c r="A105" s="2" t="str">
        <f>IF(facility!$A105&lt;&gt;"",facility!$A105,"")</f>
        <v/>
      </c>
      <c r="B105" s="1"/>
    </row>
    <row r="106" spans="1:2" x14ac:dyDescent="0.35">
      <c r="A106" s="2" t="str">
        <f>IF(facility!$A106&lt;&gt;"",facility!$A106,"")</f>
        <v/>
      </c>
      <c r="B106" s="1"/>
    </row>
    <row r="107" spans="1:2" x14ac:dyDescent="0.35">
      <c r="A107" s="2" t="str">
        <f>IF(facility!$A107&lt;&gt;"",facility!$A107,"")</f>
        <v/>
      </c>
      <c r="B107" s="1"/>
    </row>
    <row r="108" spans="1:2" x14ac:dyDescent="0.35">
      <c r="A108" s="2" t="str">
        <f>IF(facility!$A108&lt;&gt;"",facility!$A108,"")</f>
        <v/>
      </c>
      <c r="B108" s="1"/>
    </row>
    <row r="109" spans="1:2" x14ac:dyDescent="0.35">
      <c r="A109" s="2" t="str">
        <f>IF(facility!$A109&lt;&gt;"",facility!$A109,"")</f>
        <v/>
      </c>
      <c r="B109" s="1"/>
    </row>
    <row r="110" spans="1:2" x14ac:dyDescent="0.35">
      <c r="A110" s="2" t="str">
        <f>IF(facility!$A110&lt;&gt;"",facility!$A110,"")</f>
        <v/>
      </c>
      <c r="B110" s="1"/>
    </row>
    <row r="111" spans="1:2" x14ac:dyDescent="0.35">
      <c r="A111" s="2" t="str">
        <f>IF(facility!$A111&lt;&gt;"",facility!$A111,"")</f>
        <v/>
      </c>
      <c r="B111" s="1"/>
    </row>
    <row r="112" spans="1:2" x14ac:dyDescent="0.35">
      <c r="A112" s="2" t="str">
        <f>IF(facility!$A112&lt;&gt;"",facility!$A112,"")</f>
        <v/>
      </c>
      <c r="B112" s="1"/>
    </row>
    <row r="113" spans="1:2" x14ac:dyDescent="0.35">
      <c r="A113" s="2" t="str">
        <f>IF(facility!$A113&lt;&gt;"",facility!$A113,"")</f>
        <v/>
      </c>
      <c r="B113" s="1"/>
    </row>
    <row r="114" spans="1:2" x14ac:dyDescent="0.35">
      <c r="A114" s="2" t="str">
        <f>IF(facility!$A114&lt;&gt;"",facility!$A114,"")</f>
        <v/>
      </c>
      <c r="B114" s="1"/>
    </row>
    <row r="115" spans="1:2" x14ac:dyDescent="0.35">
      <c r="A115" s="2" t="str">
        <f>IF(facility!$A115&lt;&gt;"",facility!$A115,"")</f>
        <v/>
      </c>
      <c r="B115" s="1"/>
    </row>
    <row r="116" spans="1:2" x14ac:dyDescent="0.35">
      <c r="A116" s="2" t="str">
        <f>IF(facility!$A116&lt;&gt;"",facility!$A116,"")</f>
        <v/>
      </c>
      <c r="B116" s="1"/>
    </row>
    <row r="117" spans="1:2" x14ac:dyDescent="0.35">
      <c r="A117" s="2" t="str">
        <f>IF(facility!$A117&lt;&gt;"",facility!$A117,"")</f>
        <v/>
      </c>
      <c r="B117" s="1"/>
    </row>
    <row r="118" spans="1:2" x14ac:dyDescent="0.35">
      <c r="A118" s="2" t="str">
        <f>IF(facility!$A118&lt;&gt;"",facility!$A118,"")</f>
        <v/>
      </c>
      <c r="B118" s="1"/>
    </row>
    <row r="119" spans="1:2" x14ac:dyDescent="0.35">
      <c r="A119" s="2" t="str">
        <f>IF(facility!$A119&lt;&gt;"",facility!$A119,"")</f>
        <v/>
      </c>
      <c r="B119" s="1"/>
    </row>
    <row r="120" spans="1:2" x14ac:dyDescent="0.35">
      <c r="A120" s="2" t="str">
        <f>IF(facility!$A120&lt;&gt;"",facility!$A120,"")</f>
        <v/>
      </c>
      <c r="B120" s="1"/>
    </row>
    <row r="121" spans="1:2" x14ac:dyDescent="0.35">
      <c r="A121" s="2" t="str">
        <f>IF(facility!$A121&lt;&gt;"",facility!$A121,"")</f>
        <v/>
      </c>
      <c r="B121" s="1"/>
    </row>
    <row r="122" spans="1:2" x14ac:dyDescent="0.35">
      <c r="A122" s="2" t="str">
        <f>IF(facility!$A122&lt;&gt;"",facility!$A122,"")</f>
        <v/>
      </c>
      <c r="B122" s="1"/>
    </row>
    <row r="123" spans="1:2" x14ac:dyDescent="0.35">
      <c r="A123" s="2" t="str">
        <f>IF(facility!$A123&lt;&gt;"",facility!$A123,"")</f>
        <v/>
      </c>
      <c r="B123" s="1"/>
    </row>
    <row r="124" spans="1:2" x14ac:dyDescent="0.35">
      <c r="A124" s="2" t="str">
        <f>IF(facility!$A124&lt;&gt;"",facility!$A124,"")</f>
        <v/>
      </c>
      <c r="B124" s="1"/>
    </row>
    <row r="125" spans="1:2" x14ac:dyDescent="0.35">
      <c r="A125" s="2" t="str">
        <f>IF(facility!$A125&lt;&gt;"",facility!$A125,"")</f>
        <v/>
      </c>
      <c r="B125" s="1"/>
    </row>
    <row r="126" spans="1:2" x14ac:dyDescent="0.35">
      <c r="A126" s="2" t="str">
        <f>IF(facility!$A126&lt;&gt;"",facility!$A126,"")</f>
        <v/>
      </c>
      <c r="B126" s="1"/>
    </row>
    <row r="127" spans="1:2" x14ac:dyDescent="0.35">
      <c r="A127" s="2" t="str">
        <f>IF(facility!$A127&lt;&gt;"",facility!$A127,"")</f>
        <v/>
      </c>
      <c r="B127" s="1"/>
    </row>
    <row r="128" spans="1:2" x14ac:dyDescent="0.35">
      <c r="A128" s="2" t="str">
        <f>IF(facility!$A128&lt;&gt;"",facility!$A128,"")</f>
        <v/>
      </c>
      <c r="B128" s="1"/>
    </row>
    <row r="129" spans="1:2" x14ac:dyDescent="0.35">
      <c r="A129" s="2" t="str">
        <f>IF(facility!$A129&lt;&gt;"",facility!$A129,"")</f>
        <v/>
      </c>
      <c r="B129" s="1"/>
    </row>
    <row r="130" spans="1:2" x14ac:dyDescent="0.35">
      <c r="A130" s="2" t="str">
        <f>IF(facility!$A130&lt;&gt;"",facility!$A130,"")</f>
        <v/>
      </c>
      <c r="B130" s="1"/>
    </row>
    <row r="131" spans="1:2" x14ac:dyDescent="0.35">
      <c r="A131" s="2" t="str">
        <f>IF(facility!$A131&lt;&gt;"",facility!$A131,"")</f>
        <v/>
      </c>
      <c r="B131" s="1"/>
    </row>
    <row r="132" spans="1:2" x14ac:dyDescent="0.35">
      <c r="A132" s="2" t="str">
        <f>IF(facility!$A132&lt;&gt;"",facility!$A132,"")</f>
        <v/>
      </c>
      <c r="B132" s="1"/>
    </row>
    <row r="133" spans="1:2" x14ac:dyDescent="0.35">
      <c r="A133" s="2" t="str">
        <f>IF(facility!$A133&lt;&gt;"",facility!$A133,"")</f>
        <v/>
      </c>
      <c r="B133" s="1"/>
    </row>
    <row r="134" spans="1:2" x14ac:dyDescent="0.35">
      <c r="A134" s="2" t="str">
        <f>IF(facility!$A134&lt;&gt;"",facility!$A134,"")</f>
        <v/>
      </c>
      <c r="B134" s="1"/>
    </row>
    <row r="135" spans="1:2" x14ac:dyDescent="0.35">
      <c r="A135" s="2" t="str">
        <f>IF(facility!$A135&lt;&gt;"",facility!$A135,"")</f>
        <v/>
      </c>
      <c r="B135" s="1"/>
    </row>
    <row r="136" spans="1:2" x14ac:dyDescent="0.35">
      <c r="A136" s="2" t="str">
        <f>IF(facility!$A136&lt;&gt;"",facility!$A136,"")</f>
        <v/>
      </c>
      <c r="B136" s="1"/>
    </row>
    <row r="137" spans="1:2" x14ac:dyDescent="0.35">
      <c r="A137" s="2" t="str">
        <f>IF(facility!$A137&lt;&gt;"",facility!$A137,"")</f>
        <v/>
      </c>
      <c r="B137" s="1"/>
    </row>
    <row r="138" spans="1:2" x14ac:dyDescent="0.35">
      <c r="A138" s="2" t="str">
        <f>IF(facility!$A138&lt;&gt;"",facility!$A138,"")</f>
        <v/>
      </c>
      <c r="B138" s="1"/>
    </row>
    <row r="139" spans="1:2" x14ac:dyDescent="0.35">
      <c r="A139" s="2" t="str">
        <f>IF(facility!$A139&lt;&gt;"",facility!$A139,"")</f>
        <v/>
      </c>
      <c r="B139" s="1"/>
    </row>
    <row r="140" spans="1:2" x14ac:dyDescent="0.35">
      <c r="A140" s="2" t="str">
        <f>IF(facility!$A140&lt;&gt;"",facility!$A140,"")</f>
        <v/>
      </c>
      <c r="B140" s="1"/>
    </row>
    <row r="141" spans="1:2" x14ac:dyDescent="0.35">
      <c r="A141" s="2" t="str">
        <f>IF(facility!$A141&lt;&gt;"",facility!$A141,"")</f>
        <v/>
      </c>
      <c r="B141" s="1"/>
    </row>
    <row r="142" spans="1:2" x14ac:dyDescent="0.35">
      <c r="A142" s="2" t="str">
        <f>IF(facility!$A142&lt;&gt;"",facility!$A142,"")</f>
        <v/>
      </c>
      <c r="B142" s="1"/>
    </row>
    <row r="143" spans="1:2" x14ac:dyDescent="0.35">
      <c r="A143" s="2" t="str">
        <f>IF(facility!$A143&lt;&gt;"",facility!$A143,"")</f>
        <v/>
      </c>
      <c r="B143" s="1"/>
    </row>
    <row r="144" spans="1:2" x14ac:dyDescent="0.35">
      <c r="A144" s="2" t="str">
        <f>IF(facility!$A144&lt;&gt;"",facility!$A144,"")</f>
        <v/>
      </c>
      <c r="B144" s="1"/>
    </row>
    <row r="145" spans="1:2" x14ac:dyDescent="0.35">
      <c r="A145" s="2" t="str">
        <f>IF(facility!$A145&lt;&gt;"",facility!$A145,"")</f>
        <v/>
      </c>
      <c r="B145" s="1"/>
    </row>
    <row r="146" spans="1:2" x14ac:dyDescent="0.35">
      <c r="A146" s="2" t="str">
        <f>IF(facility!$A146&lt;&gt;"",facility!$A146,"")</f>
        <v/>
      </c>
      <c r="B146" s="1"/>
    </row>
    <row r="147" spans="1:2" x14ac:dyDescent="0.35">
      <c r="A147" s="2" t="str">
        <f>IF(facility!$A147&lt;&gt;"",facility!$A147,"")</f>
        <v/>
      </c>
      <c r="B147" s="1"/>
    </row>
    <row r="148" spans="1:2" x14ac:dyDescent="0.35">
      <c r="A148" s="2" t="str">
        <f>IF(facility!$A148&lt;&gt;"",facility!$A148,"")</f>
        <v/>
      </c>
      <c r="B148" s="1"/>
    </row>
    <row r="149" spans="1:2" x14ac:dyDescent="0.35">
      <c r="A149" s="2" t="str">
        <f>IF(facility!$A149&lt;&gt;"",facility!$A149,"")</f>
        <v/>
      </c>
      <c r="B149" s="1"/>
    </row>
    <row r="150" spans="1:2" x14ac:dyDescent="0.35">
      <c r="A150" s="2" t="str">
        <f>IF(facility!$A150&lt;&gt;"",facility!$A150,"")</f>
        <v/>
      </c>
      <c r="B150" s="1"/>
    </row>
    <row r="151" spans="1:2" x14ac:dyDescent="0.35">
      <c r="A151" s="2" t="str">
        <f>IF(facility!$A151&lt;&gt;"",facility!$A151,"")</f>
        <v/>
      </c>
      <c r="B151" s="1"/>
    </row>
    <row r="152" spans="1:2" x14ac:dyDescent="0.35">
      <c r="A152" s="2" t="str">
        <f>IF(facility!$A152&lt;&gt;"",facility!$A152,"")</f>
        <v/>
      </c>
      <c r="B152" s="1"/>
    </row>
    <row r="153" spans="1:2" x14ac:dyDescent="0.35">
      <c r="A153" s="2" t="str">
        <f>IF(facility!$A153&lt;&gt;"",facility!$A153,"")</f>
        <v/>
      </c>
      <c r="B153" s="1"/>
    </row>
    <row r="154" spans="1:2" x14ac:dyDescent="0.35">
      <c r="A154" s="2" t="str">
        <f>IF(facility!$A154&lt;&gt;"",facility!$A154,"")</f>
        <v/>
      </c>
      <c r="B154" s="1"/>
    </row>
    <row r="155" spans="1:2" x14ac:dyDescent="0.35">
      <c r="A155" s="2" t="str">
        <f>IF(facility!$A155&lt;&gt;"",facility!$A155,"")</f>
        <v/>
      </c>
      <c r="B155" s="1"/>
    </row>
    <row r="156" spans="1:2" x14ac:dyDescent="0.35">
      <c r="A156" s="2" t="str">
        <f>IF(facility!$A156&lt;&gt;"",facility!$A156,"")</f>
        <v/>
      </c>
      <c r="B156" s="1"/>
    </row>
    <row r="157" spans="1:2" x14ac:dyDescent="0.35">
      <c r="A157" s="2" t="str">
        <f>IF(facility!$A157&lt;&gt;"",facility!$A157,"")</f>
        <v/>
      </c>
      <c r="B157" s="1"/>
    </row>
    <row r="158" spans="1:2" x14ac:dyDescent="0.35">
      <c r="A158" s="2" t="str">
        <f>IF(facility!$A158&lt;&gt;"",facility!$A158,"")</f>
        <v/>
      </c>
      <c r="B158" s="1"/>
    </row>
    <row r="159" spans="1:2" x14ac:dyDescent="0.35">
      <c r="A159" s="2" t="str">
        <f>IF(facility!$A159&lt;&gt;"",facility!$A159,"")</f>
        <v/>
      </c>
      <c r="B159" s="1"/>
    </row>
    <row r="160" spans="1:2" x14ac:dyDescent="0.35">
      <c r="A160" s="2" t="str">
        <f>IF(facility!$A160&lt;&gt;"",facility!$A160,"")</f>
        <v/>
      </c>
      <c r="B160" s="1"/>
    </row>
    <row r="161" spans="1:2" x14ac:dyDescent="0.35">
      <c r="A161" s="2" t="str">
        <f>IF(facility!$A161&lt;&gt;"",facility!$A161,"")</f>
        <v/>
      </c>
      <c r="B161" s="1"/>
    </row>
    <row r="162" spans="1:2" x14ac:dyDescent="0.35">
      <c r="A162" s="2" t="str">
        <f>IF(facility!$A162&lt;&gt;"",facility!$A162,"")</f>
        <v/>
      </c>
      <c r="B162" s="1"/>
    </row>
    <row r="163" spans="1:2" x14ac:dyDescent="0.35">
      <c r="A163" s="2" t="str">
        <f>IF(facility!$A163&lt;&gt;"",facility!$A163,"")</f>
        <v/>
      </c>
      <c r="B163" s="1"/>
    </row>
    <row r="164" spans="1:2" x14ac:dyDescent="0.35">
      <c r="A164" s="2" t="str">
        <f>IF(facility!$A164&lt;&gt;"",facility!$A164,"")</f>
        <v/>
      </c>
      <c r="B164" s="1"/>
    </row>
    <row r="165" spans="1:2" x14ac:dyDescent="0.35">
      <c r="A165" s="2" t="str">
        <f>IF(facility!$A165&lt;&gt;"",facility!$A165,"")</f>
        <v/>
      </c>
      <c r="B165" s="1"/>
    </row>
    <row r="166" spans="1:2" x14ac:dyDescent="0.35">
      <c r="A166" s="2" t="str">
        <f>IF(facility!$A166&lt;&gt;"",facility!$A166,"")</f>
        <v/>
      </c>
      <c r="B166" s="1"/>
    </row>
    <row r="167" spans="1:2" x14ac:dyDescent="0.35">
      <c r="A167" s="2" t="str">
        <f>IF(facility!$A167&lt;&gt;"",facility!$A167,"")</f>
        <v/>
      </c>
      <c r="B167" s="1"/>
    </row>
    <row r="168" spans="1:2" x14ac:dyDescent="0.35">
      <c r="A168" s="2" t="str">
        <f>IF(facility!$A168&lt;&gt;"",facility!$A168,"")</f>
        <v/>
      </c>
      <c r="B168" s="1"/>
    </row>
    <row r="169" spans="1:2" x14ac:dyDescent="0.35">
      <c r="A169" s="2" t="str">
        <f>IF(facility!$A169&lt;&gt;"",facility!$A169,"")</f>
        <v/>
      </c>
      <c r="B169" s="1"/>
    </row>
    <row r="170" spans="1:2" x14ac:dyDescent="0.35">
      <c r="A170" s="2" t="str">
        <f>IF(facility!$A170&lt;&gt;"",facility!$A170,"")</f>
        <v/>
      </c>
      <c r="B170" s="1"/>
    </row>
    <row r="171" spans="1:2" x14ac:dyDescent="0.35">
      <c r="A171" s="2" t="str">
        <f>IF(facility!$A171&lt;&gt;"",facility!$A171,"")</f>
        <v/>
      </c>
      <c r="B171" s="1"/>
    </row>
    <row r="172" spans="1:2" x14ac:dyDescent="0.35">
      <c r="A172" s="2" t="str">
        <f>IF(facility!$A172&lt;&gt;"",facility!$A172,"")</f>
        <v/>
      </c>
      <c r="B172" s="1"/>
    </row>
    <row r="173" spans="1:2" x14ac:dyDescent="0.35">
      <c r="A173" s="2" t="str">
        <f>IF(facility!$A173&lt;&gt;"",facility!$A173,"")</f>
        <v/>
      </c>
      <c r="B173" s="1"/>
    </row>
    <row r="174" spans="1:2" x14ac:dyDescent="0.35">
      <c r="A174" s="2" t="str">
        <f>IF(facility!$A174&lt;&gt;"",facility!$A174,"")</f>
        <v/>
      </c>
      <c r="B174" s="1"/>
    </row>
    <row r="175" spans="1:2" x14ac:dyDescent="0.35">
      <c r="A175" s="2" t="str">
        <f>IF(facility!$A175&lt;&gt;"",facility!$A175,"")</f>
        <v/>
      </c>
      <c r="B175" s="1"/>
    </row>
    <row r="176" spans="1:2" x14ac:dyDescent="0.35">
      <c r="A176" s="2" t="str">
        <f>IF(facility!$A176&lt;&gt;"",facility!$A176,"")</f>
        <v/>
      </c>
      <c r="B176" s="1"/>
    </row>
    <row r="177" spans="1:2" x14ac:dyDescent="0.35">
      <c r="A177" s="2" t="str">
        <f>IF(facility!$A177&lt;&gt;"",facility!$A177,"")</f>
        <v/>
      </c>
      <c r="B177" s="1"/>
    </row>
    <row r="178" spans="1:2" x14ac:dyDescent="0.35">
      <c r="A178" s="2" t="str">
        <f>IF(facility!$A178&lt;&gt;"",facility!$A178,"")</f>
        <v/>
      </c>
      <c r="B178" s="1"/>
    </row>
    <row r="179" spans="1:2" x14ac:dyDescent="0.35">
      <c r="A179" s="2" t="str">
        <f>IF(facility!$A179&lt;&gt;"",facility!$A179,"")</f>
        <v/>
      </c>
      <c r="B179" s="1"/>
    </row>
    <row r="180" spans="1:2" x14ac:dyDescent="0.35">
      <c r="A180" s="2" t="str">
        <f>IF(facility!$A180&lt;&gt;"",facility!$A180,"")</f>
        <v/>
      </c>
      <c r="B180" s="1"/>
    </row>
    <row r="181" spans="1:2" x14ac:dyDescent="0.35">
      <c r="A181" s="2" t="str">
        <f>IF(facility!$A181&lt;&gt;"",facility!$A181,"")</f>
        <v/>
      </c>
      <c r="B181" s="1"/>
    </row>
    <row r="182" spans="1:2" x14ac:dyDescent="0.35">
      <c r="A182" s="2" t="str">
        <f>IF(facility!$A182&lt;&gt;"",facility!$A182,"")</f>
        <v/>
      </c>
      <c r="B182" s="1"/>
    </row>
    <row r="183" spans="1:2" x14ac:dyDescent="0.35">
      <c r="A183" s="2" t="str">
        <f>IF(facility!$A183&lt;&gt;"",facility!$A183,"")</f>
        <v/>
      </c>
      <c r="B183" s="1"/>
    </row>
    <row r="184" spans="1:2" x14ac:dyDescent="0.35">
      <c r="A184" s="2" t="str">
        <f>IF(facility!$A184&lt;&gt;"",facility!$A184,"")</f>
        <v/>
      </c>
      <c r="B184" s="1"/>
    </row>
    <row r="185" spans="1:2" x14ac:dyDescent="0.35">
      <c r="A185" s="2" t="str">
        <f>IF(facility!$A185&lt;&gt;"",facility!$A185,"")</f>
        <v/>
      </c>
      <c r="B185" s="1"/>
    </row>
    <row r="186" spans="1:2" x14ac:dyDescent="0.35">
      <c r="A186" s="2" t="str">
        <f>IF(facility!$A186&lt;&gt;"",facility!$A186,"")</f>
        <v/>
      </c>
      <c r="B186" s="1"/>
    </row>
    <row r="187" spans="1:2" x14ac:dyDescent="0.35">
      <c r="A187" s="2" t="str">
        <f>IF(facility!$A187&lt;&gt;"",facility!$A187,"")</f>
        <v/>
      </c>
      <c r="B187" s="1"/>
    </row>
    <row r="188" spans="1:2" x14ac:dyDescent="0.35">
      <c r="A188" s="2" t="str">
        <f>IF(facility!$A188&lt;&gt;"",facility!$A188,"")</f>
        <v/>
      </c>
      <c r="B188" s="1"/>
    </row>
    <row r="189" spans="1:2" x14ac:dyDescent="0.35">
      <c r="A189" s="2" t="str">
        <f>IF(facility!$A189&lt;&gt;"",facility!$A189,"")</f>
        <v/>
      </c>
      <c r="B189" s="1"/>
    </row>
    <row r="190" spans="1:2" x14ac:dyDescent="0.35">
      <c r="A190" s="2" t="str">
        <f>IF(facility!$A190&lt;&gt;"",facility!$A190,"")</f>
        <v/>
      </c>
      <c r="B190" s="1"/>
    </row>
    <row r="191" spans="1:2" x14ac:dyDescent="0.35">
      <c r="A191" s="2" t="str">
        <f>IF(facility!$A191&lt;&gt;"",facility!$A191,"")</f>
        <v/>
      </c>
      <c r="B191" s="1"/>
    </row>
    <row r="192" spans="1:2" x14ac:dyDescent="0.35">
      <c r="A192" s="2" t="str">
        <f>IF(facility!$A192&lt;&gt;"",facility!$A192,"")</f>
        <v/>
      </c>
      <c r="B192" s="1"/>
    </row>
    <row r="193" spans="1:2" x14ac:dyDescent="0.35">
      <c r="A193" s="2" t="str">
        <f>IF(facility!$A193&lt;&gt;"",facility!$A193,"")</f>
        <v/>
      </c>
      <c r="B193" s="1"/>
    </row>
    <row r="194" spans="1:2" x14ac:dyDescent="0.35">
      <c r="A194" s="2" t="str">
        <f>IF(facility!$A194&lt;&gt;"",facility!$A194,"")</f>
        <v/>
      </c>
      <c r="B194" s="1"/>
    </row>
    <row r="195" spans="1:2" x14ac:dyDescent="0.35">
      <c r="A195" s="2" t="str">
        <f>IF(facility!$A195&lt;&gt;"",facility!$A195,"")</f>
        <v/>
      </c>
      <c r="B195" s="1"/>
    </row>
    <row r="196" spans="1:2" x14ac:dyDescent="0.35">
      <c r="A196" s="2" t="str">
        <f>IF(facility!$A196&lt;&gt;"",facility!$A196,"")</f>
        <v/>
      </c>
      <c r="B196" s="1"/>
    </row>
    <row r="197" spans="1:2" x14ac:dyDescent="0.35">
      <c r="A197" s="2" t="str">
        <f>IF(facility!$A197&lt;&gt;"",facility!$A197,"")</f>
        <v/>
      </c>
      <c r="B197" s="1"/>
    </row>
    <row r="198" spans="1:2" x14ac:dyDescent="0.35">
      <c r="A198" s="2" t="str">
        <f>IF(facility!$A198&lt;&gt;"",facility!$A198,"")</f>
        <v/>
      </c>
      <c r="B198" s="1"/>
    </row>
    <row r="199" spans="1:2" x14ac:dyDescent="0.35">
      <c r="A199" s="2" t="str">
        <f>IF(facility!$A199&lt;&gt;"",facility!$A199,"")</f>
        <v/>
      </c>
      <c r="B199" s="1"/>
    </row>
    <row r="200" spans="1:2" x14ac:dyDescent="0.35">
      <c r="A200" s="2" t="str">
        <f>IF(facility!$A200&lt;&gt;"",facility!$A200,"")</f>
        <v/>
      </c>
      <c r="B200" s="1"/>
    </row>
    <row r="201" spans="1:2" x14ac:dyDescent="0.35">
      <c r="A201" s="2" t="str">
        <f>IF(facility!$A201&lt;&gt;"",facility!$A201,"")</f>
        <v/>
      </c>
      <c r="B201" s="1"/>
    </row>
    <row r="202" spans="1:2" x14ac:dyDescent="0.35">
      <c r="A202" s="2" t="str">
        <f>IF(facility!$A202&lt;&gt;"",facility!$A202,"")</f>
        <v/>
      </c>
      <c r="B202" s="1"/>
    </row>
    <row r="203" spans="1:2" x14ac:dyDescent="0.35">
      <c r="A203" s="2" t="str">
        <f>IF(facility!$A203&lt;&gt;"",facility!$A203,"")</f>
        <v/>
      </c>
      <c r="B203" s="1"/>
    </row>
    <row r="204" spans="1:2" x14ac:dyDescent="0.35">
      <c r="A204" s="2" t="str">
        <f>IF(facility!$A204&lt;&gt;"",facility!$A204,"")</f>
        <v/>
      </c>
      <c r="B204" s="1"/>
    </row>
    <row r="205" spans="1:2" x14ac:dyDescent="0.35">
      <c r="A205" s="2" t="str">
        <f>IF(facility!$A205&lt;&gt;"",facility!$A205,"")</f>
        <v/>
      </c>
      <c r="B205" s="1"/>
    </row>
    <row r="206" spans="1:2" x14ac:dyDescent="0.35">
      <c r="A206" s="2" t="str">
        <f>IF(facility!$A206&lt;&gt;"",facility!$A206,"")</f>
        <v/>
      </c>
      <c r="B206" s="1"/>
    </row>
    <row r="207" spans="1:2" x14ac:dyDescent="0.35">
      <c r="A207" s="2" t="str">
        <f>IF(facility!$A207&lt;&gt;"",facility!$A207,"")</f>
        <v/>
      </c>
      <c r="B207" s="1"/>
    </row>
    <row r="208" spans="1:2" x14ac:dyDescent="0.35">
      <c r="A208" s="2" t="str">
        <f>IF(facility!$A208&lt;&gt;"",facility!$A208,"")</f>
        <v/>
      </c>
      <c r="B208" s="1"/>
    </row>
    <row r="209" spans="1:2" x14ac:dyDescent="0.35">
      <c r="A209" s="2" t="str">
        <f>IF(facility!$A209&lt;&gt;"",facility!$A209,"")</f>
        <v/>
      </c>
      <c r="B209" s="1"/>
    </row>
    <row r="210" spans="1:2" x14ac:dyDescent="0.35">
      <c r="A210" s="2" t="str">
        <f>IF(facility!$A210&lt;&gt;"",facility!$A210,"")</f>
        <v/>
      </c>
      <c r="B210" s="1"/>
    </row>
    <row r="211" spans="1:2" x14ac:dyDescent="0.35">
      <c r="A211" s="2" t="str">
        <f>IF(facility!$A211&lt;&gt;"",facility!$A211,"")</f>
        <v/>
      </c>
      <c r="B211" s="1"/>
    </row>
    <row r="212" spans="1:2" x14ac:dyDescent="0.35">
      <c r="A212" s="2" t="str">
        <f>IF(facility!$A212&lt;&gt;"",facility!$A212,"")</f>
        <v/>
      </c>
      <c r="B212" s="1"/>
    </row>
    <row r="213" spans="1:2" x14ac:dyDescent="0.35">
      <c r="A213" s="2" t="str">
        <f>IF(facility!$A213&lt;&gt;"",facility!$A213,"")</f>
        <v/>
      </c>
      <c r="B213" s="1"/>
    </row>
    <row r="214" spans="1:2" x14ac:dyDescent="0.35">
      <c r="A214" s="2" t="str">
        <f>IF(facility!$A214&lt;&gt;"",facility!$A214,"")</f>
        <v/>
      </c>
      <c r="B214" s="1"/>
    </row>
    <row r="215" spans="1:2" x14ac:dyDescent="0.35">
      <c r="A215" s="2" t="str">
        <f>IF(facility!$A215&lt;&gt;"",facility!$A215,"")</f>
        <v/>
      </c>
      <c r="B215" s="1"/>
    </row>
    <row r="216" spans="1:2" x14ac:dyDescent="0.35">
      <c r="A216" s="2" t="str">
        <f>IF(facility!$A216&lt;&gt;"",facility!$A216,"")</f>
        <v/>
      </c>
      <c r="B216" s="1"/>
    </row>
    <row r="217" spans="1:2" x14ac:dyDescent="0.35">
      <c r="A217" s="2" t="str">
        <f>IF(facility!$A217&lt;&gt;"",facility!$A217,"")</f>
        <v/>
      </c>
      <c r="B217" s="1"/>
    </row>
    <row r="218" spans="1:2" x14ac:dyDescent="0.35">
      <c r="A218" s="2" t="str">
        <f>IF(facility!$A218&lt;&gt;"",facility!$A218,"")</f>
        <v/>
      </c>
      <c r="B218" s="1"/>
    </row>
    <row r="219" spans="1:2" x14ac:dyDescent="0.35">
      <c r="A219" s="2" t="str">
        <f>IF(facility!$A219&lt;&gt;"",facility!$A219,"")</f>
        <v/>
      </c>
      <c r="B219" s="1"/>
    </row>
    <row r="220" spans="1:2" x14ac:dyDescent="0.35">
      <c r="A220" s="2" t="str">
        <f>IF(facility!$A220&lt;&gt;"",facility!$A220,"")</f>
        <v/>
      </c>
      <c r="B220" s="1"/>
    </row>
    <row r="221" spans="1:2" x14ac:dyDescent="0.35">
      <c r="A221" s="2" t="str">
        <f>IF(facility!$A221&lt;&gt;"",facility!$A221,"")</f>
        <v/>
      </c>
      <c r="B221" s="1"/>
    </row>
    <row r="222" spans="1:2" x14ac:dyDescent="0.35">
      <c r="A222" s="2" t="str">
        <f>IF(facility!$A222&lt;&gt;"",facility!$A222,"")</f>
        <v/>
      </c>
      <c r="B222" s="1"/>
    </row>
    <row r="223" spans="1:2" x14ac:dyDescent="0.35">
      <c r="A223" s="2" t="str">
        <f>IF(facility!$A223&lt;&gt;"",facility!$A223,"")</f>
        <v/>
      </c>
      <c r="B223" s="1"/>
    </row>
    <row r="224" spans="1:2" x14ac:dyDescent="0.35">
      <c r="A224" s="2" t="str">
        <f>IF(facility!$A224&lt;&gt;"",facility!$A224,"")</f>
        <v/>
      </c>
      <c r="B224" s="1"/>
    </row>
    <row r="225" spans="1:2" x14ac:dyDescent="0.35">
      <c r="A225" s="2" t="str">
        <f>IF(facility!$A225&lt;&gt;"",facility!$A225,"")</f>
        <v/>
      </c>
      <c r="B225" s="1"/>
    </row>
    <row r="226" spans="1:2" x14ac:dyDescent="0.35">
      <c r="A226" s="2" t="str">
        <f>IF(facility!$A226&lt;&gt;"",facility!$A226,"")</f>
        <v/>
      </c>
      <c r="B226" s="1"/>
    </row>
    <row r="227" spans="1:2" x14ac:dyDescent="0.35">
      <c r="A227" s="2" t="str">
        <f>IF(facility!$A227&lt;&gt;"",facility!$A227,"")</f>
        <v/>
      </c>
      <c r="B227" s="1"/>
    </row>
    <row r="228" spans="1:2" x14ac:dyDescent="0.35">
      <c r="A228" s="2" t="str">
        <f>IF(facility!$A228&lt;&gt;"",facility!$A228,"")</f>
        <v/>
      </c>
      <c r="B228" s="1"/>
    </row>
    <row r="229" spans="1:2" x14ac:dyDescent="0.35">
      <c r="A229" s="2" t="str">
        <f>IF(facility!$A229&lt;&gt;"",facility!$A229,"")</f>
        <v/>
      </c>
      <c r="B229" s="1"/>
    </row>
    <row r="230" spans="1:2" x14ac:dyDescent="0.35">
      <c r="A230" s="2" t="str">
        <f>IF(facility!$A230&lt;&gt;"",facility!$A230,"")</f>
        <v/>
      </c>
      <c r="B230" s="1"/>
    </row>
    <row r="231" spans="1:2" x14ac:dyDescent="0.35">
      <c r="A231" s="2" t="str">
        <f>IF(facility!$A231&lt;&gt;"",facility!$A231,"")</f>
        <v/>
      </c>
      <c r="B231" s="1"/>
    </row>
    <row r="232" spans="1:2" x14ac:dyDescent="0.35">
      <c r="A232" s="2" t="str">
        <f>IF(facility!$A232&lt;&gt;"",facility!$A232,"")</f>
        <v/>
      </c>
      <c r="B232" s="1"/>
    </row>
    <row r="233" spans="1:2" x14ac:dyDescent="0.35">
      <c r="A233" s="2" t="str">
        <f>IF(facility!$A233&lt;&gt;"",facility!$A233,"")</f>
        <v/>
      </c>
      <c r="B233" s="1"/>
    </row>
    <row r="234" spans="1:2" x14ac:dyDescent="0.35">
      <c r="A234" s="2" t="str">
        <f>IF(facility!$A234&lt;&gt;"",facility!$A234,"")</f>
        <v/>
      </c>
      <c r="B234" s="1"/>
    </row>
    <row r="235" spans="1:2" x14ac:dyDescent="0.35">
      <c r="A235" s="2" t="str">
        <f>IF(facility!$A235&lt;&gt;"",facility!$A235,"")</f>
        <v/>
      </c>
      <c r="B235" s="1"/>
    </row>
    <row r="236" spans="1:2" x14ac:dyDescent="0.35">
      <c r="A236" s="2" t="str">
        <f>IF(facility!$A236&lt;&gt;"",facility!$A236,"")</f>
        <v/>
      </c>
      <c r="B236" s="1"/>
    </row>
    <row r="237" spans="1:2" x14ac:dyDescent="0.35">
      <c r="A237" s="2" t="str">
        <f>IF(facility!$A237&lt;&gt;"",facility!$A237,"")</f>
        <v/>
      </c>
      <c r="B237" s="1"/>
    </row>
    <row r="238" spans="1:2" x14ac:dyDescent="0.35">
      <c r="A238" s="2" t="str">
        <f>IF(facility!$A238&lt;&gt;"",facility!$A238,"")</f>
        <v/>
      </c>
      <c r="B238" s="1"/>
    </row>
    <row r="239" spans="1:2" x14ac:dyDescent="0.35">
      <c r="A239" s="2" t="str">
        <f>IF(facility!$A239&lt;&gt;"",facility!$A239,"")</f>
        <v/>
      </c>
      <c r="B239" s="1"/>
    </row>
    <row r="240" spans="1:2" x14ac:dyDescent="0.35">
      <c r="A240" s="2" t="str">
        <f>IF(facility!$A240&lt;&gt;"",facility!$A240,"")</f>
        <v/>
      </c>
      <c r="B240" s="1"/>
    </row>
    <row r="241" spans="1:2" x14ac:dyDescent="0.35">
      <c r="A241" s="2" t="str">
        <f>IF(facility!$A241&lt;&gt;"",facility!$A241,"")</f>
        <v/>
      </c>
      <c r="B241" s="1"/>
    </row>
    <row r="242" spans="1:2" x14ac:dyDescent="0.35">
      <c r="A242" s="2" t="str">
        <f>IF(facility!$A242&lt;&gt;"",facility!$A242,"")</f>
        <v/>
      </c>
      <c r="B242" s="1"/>
    </row>
    <row r="243" spans="1:2" x14ac:dyDescent="0.35">
      <c r="A243" s="2" t="str">
        <f>IF(facility!$A243&lt;&gt;"",facility!$A243,"")</f>
        <v/>
      </c>
      <c r="B243" s="1"/>
    </row>
    <row r="244" spans="1:2" x14ac:dyDescent="0.35">
      <c r="A244" s="2" t="str">
        <f>IF(facility!$A244&lt;&gt;"",facility!$A244,"")</f>
        <v/>
      </c>
      <c r="B244" s="1"/>
    </row>
    <row r="245" spans="1:2" x14ac:dyDescent="0.35">
      <c r="A245" s="2" t="str">
        <f>IF(facility!$A245&lt;&gt;"",facility!$A245,"")</f>
        <v/>
      </c>
      <c r="B245" s="1"/>
    </row>
    <row r="246" spans="1:2" x14ac:dyDescent="0.35">
      <c r="A246" s="2" t="str">
        <f>IF(facility!$A246&lt;&gt;"",facility!$A246,"")</f>
        <v/>
      </c>
      <c r="B246" s="1"/>
    </row>
    <row r="247" spans="1:2" x14ac:dyDescent="0.35">
      <c r="A247" s="2" t="str">
        <f>IF(facility!$A247&lt;&gt;"",facility!$A247,"")</f>
        <v/>
      </c>
      <c r="B247" s="1"/>
    </row>
    <row r="248" spans="1:2" x14ac:dyDescent="0.35">
      <c r="A248" s="2" t="str">
        <f>IF(facility!$A248&lt;&gt;"",facility!$A248,"")</f>
        <v/>
      </c>
      <c r="B248" s="1"/>
    </row>
    <row r="249" spans="1:2" x14ac:dyDescent="0.35">
      <c r="A249" s="2" t="str">
        <f>IF(facility!$A249&lt;&gt;"",facility!$A249,"")</f>
        <v/>
      </c>
      <c r="B249" s="1"/>
    </row>
    <row r="250" spans="1:2" x14ac:dyDescent="0.35">
      <c r="A250" s="2" t="str">
        <f>IF(facility!$A250&lt;&gt;"",facility!$A250,"")</f>
        <v/>
      </c>
      <c r="B250" s="1"/>
    </row>
    <row r="251" spans="1:2" x14ac:dyDescent="0.35">
      <c r="A251" s="2" t="str">
        <f>IF(facility!$A251&lt;&gt;"",facility!$A251,"")</f>
        <v/>
      </c>
      <c r="B251" s="1"/>
    </row>
    <row r="252" spans="1:2" x14ac:dyDescent="0.35">
      <c r="A252" s="2" t="str">
        <f>IF(facility!$A252&lt;&gt;"",facility!$A252,"")</f>
        <v/>
      </c>
      <c r="B252" s="1"/>
    </row>
    <row r="253" spans="1:2" x14ac:dyDescent="0.35">
      <c r="A253" s="2" t="str">
        <f>IF(facility!$A253&lt;&gt;"",facility!$A253,"")</f>
        <v/>
      </c>
      <c r="B253" s="1"/>
    </row>
    <row r="254" spans="1:2" x14ac:dyDescent="0.35">
      <c r="A254" s="2" t="str">
        <f>IF(facility!$A254&lt;&gt;"",facility!$A254,"")</f>
        <v/>
      </c>
      <c r="B254" s="1"/>
    </row>
    <row r="255" spans="1:2" x14ac:dyDescent="0.35">
      <c r="A255" s="2" t="str">
        <f>IF(facility!$A255&lt;&gt;"",facility!$A255,"")</f>
        <v/>
      </c>
      <c r="B255" s="1"/>
    </row>
    <row r="256" spans="1:2" x14ac:dyDescent="0.35">
      <c r="A256" s="2" t="str">
        <f>IF(facility!$A256&lt;&gt;"",facility!$A256,"")</f>
        <v/>
      </c>
      <c r="B256" s="1"/>
    </row>
    <row r="257" spans="1:2" x14ac:dyDescent="0.35">
      <c r="A257" s="2" t="str">
        <f>IF(facility!$A257&lt;&gt;"",facility!$A257,"")</f>
        <v/>
      </c>
      <c r="B257" s="1"/>
    </row>
    <row r="258" spans="1:2" x14ac:dyDescent="0.35">
      <c r="A258" s="2" t="str">
        <f>IF(facility!$A258&lt;&gt;"",facility!$A258,"")</f>
        <v/>
      </c>
      <c r="B258" s="1"/>
    </row>
    <row r="259" spans="1:2" x14ac:dyDescent="0.35">
      <c r="A259" s="2" t="str">
        <f>IF(facility!$A259&lt;&gt;"",facility!$A259,"")</f>
        <v/>
      </c>
      <c r="B259" s="1"/>
    </row>
    <row r="260" spans="1:2" x14ac:dyDescent="0.35">
      <c r="A260" s="2" t="str">
        <f>IF(facility!$A260&lt;&gt;"",facility!$A260,"")</f>
        <v/>
      </c>
      <c r="B260" s="1"/>
    </row>
    <row r="261" spans="1:2" x14ac:dyDescent="0.35">
      <c r="A261" s="2" t="str">
        <f>IF(facility!$A261&lt;&gt;"",facility!$A261,"")</f>
        <v/>
      </c>
      <c r="B261" s="1"/>
    </row>
    <row r="262" spans="1:2" x14ac:dyDescent="0.35">
      <c r="A262" s="2" t="str">
        <f>IF(facility!$A262&lt;&gt;"",facility!$A262,"")</f>
        <v/>
      </c>
      <c r="B262" s="1"/>
    </row>
    <row r="263" spans="1:2" x14ac:dyDescent="0.35">
      <c r="A263" s="2" t="str">
        <f>IF(facility!$A263&lt;&gt;"",facility!$A263,"")</f>
        <v/>
      </c>
      <c r="B263" s="1"/>
    </row>
    <row r="264" spans="1:2" x14ac:dyDescent="0.35">
      <c r="A264" s="2" t="str">
        <f>IF(facility!$A264&lt;&gt;"",facility!$A264,"")</f>
        <v/>
      </c>
      <c r="B264" s="1"/>
    </row>
    <row r="265" spans="1:2" x14ac:dyDescent="0.35">
      <c r="A265" s="2" t="str">
        <f>IF(facility!$A265&lt;&gt;"",facility!$A265,"")</f>
        <v/>
      </c>
      <c r="B265" s="1"/>
    </row>
    <row r="266" spans="1:2" x14ac:dyDescent="0.35">
      <c r="A266" s="2" t="str">
        <f>IF(facility!$A266&lt;&gt;"",facility!$A266,"")</f>
        <v/>
      </c>
      <c r="B266" s="1"/>
    </row>
    <row r="267" spans="1:2" x14ac:dyDescent="0.35">
      <c r="A267" s="2" t="str">
        <f>IF(facility!$A267&lt;&gt;"",facility!$A267,"")</f>
        <v/>
      </c>
      <c r="B267" s="1"/>
    </row>
    <row r="268" spans="1:2" x14ac:dyDescent="0.35">
      <c r="A268" s="2" t="str">
        <f>IF(facility!$A268&lt;&gt;"",facility!$A268,"")</f>
        <v/>
      </c>
      <c r="B268" s="1"/>
    </row>
    <row r="269" spans="1:2" x14ac:dyDescent="0.35">
      <c r="A269" s="2" t="str">
        <f>IF(facility!$A269&lt;&gt;"",facility!$A269,"")</f>
        <v/>
      </c>
      <c r="B269" s="1"/>
    </row>
    <row r="270" spans="1:2" x14ac:dyDescent="0.35">
      <c r="A270" s="2" t="str">
        <f>IF(facility!$A270&lt;&gt;"",facility!$A270,"")</f>
        <v/>
      </c>
      <c r="B270" s="1"/>
    </row>
    <row r="271" spans="1:2" x14ac:dyDescent="0.35">
      <c r="A271" s="2" t="str">
        <f>IF(facility!$A271&lt;&gt;"",facility!$A271,"")</f>
        <v/>
      </c>
      <c r="B271" s="1"/>
    </row>
    <row r="272" spans="1:2" x14ac:dyDescent="0.35">
      <c r="A272" s="2" t="str">
        <f>IF(facility!$A272&lt;&gt;"",facility!$A272,"")</f>
        <v/>
      </c>
      <c r="B272" s="1"/>
    </row>
    <row r="273" spans="1:2" x14ac:dyDescent="0.35">
      <c r="A273" s="2" t="str">
        <f>IF(facility!$A273&lt;&gt;"",facility!$A273,"")</f>
        <v/>
      </c>
      <c r="B273" s="1"/>
    </row>
    <row r="274" spans="1:2" x14ac:dyDescent="0.35">
      <c r="A274" s="2" t="str">
        <f>IF(facility!$A274&lt;&gt;"",facility!$A274,"")</f>
        <v/>
      </c>
      <c r="B274" s="1"/>
    </row>
    <row r="275" spans="1:2" x14ac:dyDescent="0.35">
      <c r="A275" s="2" t="str">
        <f>IF(facility!$A275&lt;&gt;"",facility!$A275,"")</f>
        <v/>
      </c>
      <c r="B275" s="1"/>
    </row>
    <row r="276" spans="1:2" x14ac:dyDescent="0.35">
      <c r="A276" s="2" t="str">
        <f>IF(facility!$A276&lt;&gt;"",facility!$A276,"")</f>
        <v/>
      </c>
      <c r="B276" s="1"/>
    </row>
    <row r="277" spans="1:2" x14ac:dyDescent="0.35">
      <c r="A277" s="2" t="str">
        <f>IF(facility!$A277&lt;&gt;"",facility!$A277,"")</f>
        <v/>
      </c>
      <c r="B277" s="1"/>
    </row>
    <row r="278" spans="1:2" x14ac:dyDescent="0.35">
      <c r="A278" s="2" t="str">
        <f>IF(facility!$A278&lt;&gt;"",facility!$A278,"")</f>
        <v/>
      </c>
      <c r="B278" s="1"/>
    </row>
    <row r="279" spans="1:2" x14ac:dyDescent="0.35">
      <c r="A279" s="2" t="str">
        <f>IF(facility!$A279&lt;&gt;"",facility!$A279,"")</f>
        <v/>
      </c>
      <c r="B279" s="1"/>
    </row>
    <row r="280" spans="1:2" x14ac:dyDescent="0.35">
      <c r="A280" s="2" t="str">
        <f>IF(facility!$A280&lt;&gt;"",facility!$A280,"")</f>
        <v/>
      </c>
      <c r="B280" s="1"/>
    </row>
    <row r="281" spans="1:2" x14ac:dyDescent="0.35">
      <c r="A281" s="2" t="str">
        <f>IF(facility!$A281&lt;&gt;"",facility!$A281,"")</f>
        <v/>
      </c>
      <c r="B281" s="1"/>
    </row>
    <row r="282" spans="1:2" x14ac:dyDescent="0.35">
      <c r="A282" s="2" t="str">
        <f>IF(facility!$A282&lt;&gt;"",facility!$A282,"")</f>
        <v/>
      </c>
      <c r="B282" s="1"/>
    </row>
    <row r="283" spans="1:2" x14ac:dyDescent="0.35">
      <c r="A283" s="2" t="str">
        <f>IF(facility!$A283&lt;&gt;"",facility!$A283,"")</f>
        <v/>
      </c>
      <c r="B283" s="1"/>
    </row>
    <row r="284" spans="1:2" x14ac:dyDescent="0.35">
      <c r="A284" s="2" t="str">
        <f>IF(facility!$A284&lt;&gt;"",facility!$A284,"")</f>
        <v/>
      </c>
      <c r="B284" s="1"/>
    </row>
    <row r="285" spans="1:2" x14ac:dyDescent="0.35">
      <c r="A285" s="2" t="str">
        <f>IF(facility!$A285&lt;&gt;"",facility!$A285,"")</f>
        <v/>
      </c>
      <c r="B285" s="1"/>
    </row>
    <row r="286" spans="1:2" x14ac:dyDescent="0.35">
      <c r="A286" s="2" t="str">
        <f>IF(facility!$A286&lt;&gt;"",facility!$A286,"")</f>
        <v/>
      </c>
      <c r="B286" s="1"/>
    </row>
    <row r="287" spans="1:2" x14ac:dyDescent="0.35">
      <c r="A287" s="2" t="str">
        <f>IF(facility!$A287&lt;&gt;"",facility!$A287,"")</f>
        <v/>
      </c>
      <c r="B287" s="1"/>
    </row>
    <row r="288" spans="1:2" x14ac:dyDescent="0.35">
      <c r="A288" s="2" t="str">
        <f>IF(facility!$A288&lt;&gt;"",facility!$A288,"")</f>
        <v/>
      </c>
      <c r="B288" s="1"/>
    </row>
    <row r="289" spans="1:2" x14ac:dyDescent="0.35">
      <c r="A289" s="2" t="str">
        <f>IF(facility!$A289&lt;&gt;"",facility!$A289,"")</f>
        <v/>
      </c>
      <c r="B289" s="1"/>
    </row>
    <row r="290" spans="1:2" x14ac:dyDescent="0.35">
      <c r="A290" s="2" t="str">
        <f>IF(facility!$A290&lt;&gt;"",facility!$A290,"")</f>
        <v/>
      </c>
      <c r="B290" s="1"/>
    </row>
    <row r="291" spans="1:2" x14ac:dyDescent="0.35">
      <c r="A291" s="2" t="str">
        <f>IF(facility!$A291&lt;&gt;"",facility!$A291,"")</f>
        <v/>
      </c>
      <c r="B291" s="1"/>
    </row>
    <row r="292" spans="1:2" x14ac:dyDescent="0.35">
      <c r="A292" s="2" t="str">
        <f>IF(facility!$A292&lt;&gt;"",facility!$A292,"")</f>
        <v/>
      </c>
      <c r="B292" s="1"/>
    </row>
    <row r="293" spans="1:2" x14ac:dyDescent="0.35">
      <c r="A293" s="2" t="str">
        <f>IF(facility!$A293&lt;&gt;"",facility!$A293,"")</f>
        <v/>
      </c>
      <c r="B293" s="1"/>
    </row>
    <row r="294" spans="1:2" x14ac:dyDescent="0.35">
      <c r="A294" s="2" t="str">
        <f>IF(facility!$A294&lt;&gt;"",facility!$A294,"")</f>
        <v/>
      </c>
      <c r="B294" s="1"/>
    </row>
    <row r="295" spans="1:2" x14ac:dyDescent="0.35">
      <c r="A295" s="2" t="str">
        <f>IF(facility!$A295&lt;&gt;"",facility!$A295,"")</f>
        <v/>
      </c>
      <c r="B295" s="1"/>
    </row>
    <row r="296" spans="1:2" x14ac:dyDescent="0.35">
      <c r="A296" s="2" t="str">
        <f>IF(facility!$A296&lt;&gt;"",facility!$A296,"")</f>
        <v/>
      </c>
      <c r="B296" s="1"/>
    </row>
    <row r="297" spans="1:2" x14ac:dyDescent="0.35">
      <c r="A297" s="2" t="str">
        <f>IF(facility!$A297&lt;&gt;"",facility!$A297,"")</f>
        <v/>
      </c>
      <c r="B297" s="1"/>
    </row>
    <row r="298" spans="1:2" x14ac:dyDescent="0.35">
      <c r="A298" s="2" t="str">
        <f>IF(facility!$A298&lt;&gt;"",facility!$A298,"")</f>
        <v/>
      </c>
      <c r="B298" s="1"/>
    </row>
    <row r="299" spans="1:2" x14ac:dyDescent="0.35">
      <c r="A299" s="2" t="str">
        <f>IF(facility!$A299&lt;&gt;"",facility!$A299,"")</f>
        <v/>
      </c>
      <c r="B299" s="1"/>
    </row>
    <row r="300" spans="1:2" x14ac:dyDescent="0.35">
      <c r="A300" s="2" t="str">
        <f>IF(facility!$A300&lt;&gt;"",facility!$A300,"")</f>
        <v/>
      </c>
      <c r="B300" s="1"/>
    </row>
    <row r="301" spans="1:2" x14ac:dyDescent="0.35">
      <c r="A301" s="2" t="str">
        <f>IF(facility!$A301&lt;&gt;"",facility!$A301,"")</f>
        <v/>
      </c>
      <c r="B301" s="1"/>
    </row>
    <row r="302" spans="1:2" x14ac:dyDescent="0.35">
      <c r="A302" s="2" t="str">
        <f>IF(facility!$A302&lt;&gt;"",facility!$A302,"")</f>
        <v/>
      </c>
      <c r="B302" s="1"/>
    </row>
    <row r="303" spans="1:2" x14ac:dyDescent="0.35">
      <c r="A303" s="2" t="str">
        <f>IF(facility!$A303&lt;&gt;"",facility!$A303,"")</f>
        <v/>
      </c>
      <c r="B303" s="1"/>
    </row>
    <row r="304" spans="1:2" x14ac:dyDescent="0.35">
      <c r="A304" s="2" t="str">
        <f>IF(facility!$A304&lt;&gt;"",facility!$A304,"")</f>
        <v/>
      </c>
      <c r="B304" s="1"/>
    </row>
    <row r="305" spans="1:2" x14ac:dyDescent="0.35">
      <c r="A305" s="2" t="str">
        <f>IF(facility!$A305&lt;&gt;"",facility!$A305,"")</f>
        <v/>
      </c>
      <c r="B305" s="1"/>
    </row>
    <row r="306" spans="1:2" x14ac:dyDescent="0.35">
      <c r="A306" s="2" t="str">
        <f>IF(facility!$A306&lt;&gt;"",facility!$A306,"")</f>
        <v/>
      </c>
      <c r="B306" s="1"/>
    </row>
    <row r="307" spans="1:2" x14ac:dyDescent="0.35">
      <c r="A307" s="2" t="str">
        <f>IF(facility!$A307&lt;&gt;"",facility!$A307,"")</f>
        <v/>
      </c>
      <c r="B307" s="1"/>
    </row>
    <row r="308" spans="1:2" x14ac:dyDescent="0.35">
      <c r="A308" s="2" t="str">
        <f>IF(facility!$A308&lt;&gt;"",facility!$A308,"")</f>
        <v/>
      </c>
      <c r="B308" s="1"/>
    </row>
    <row r="309" spans="1:2" x14ac:dyDescent="0.35">
      <c r="A309" s="2" t="str">
        <f>IF(facility!$A309&lt;&gt;"",facility!$A309,"")</f>
        <v/>
      </c>
      <c r="B309" s="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facility</vt:lpstr>
      <vt:lpstr>emission sources</vt:lpstr>
      <vt:lpstr>emission data</vt:lpstr>
      <vt:lpstr>interventions</vt:lpstr>
      <vt:lpstr>exclusions</vt:lpstr>
      <vt:lpstr>emission targets</vt:lpstr>
      <vt:lpstr>effect sizes</vt:lpstr>
      <vt:lpstr>implementation costs</vt:lpstr>
      <vt:lpstr>maintenance costs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Farah Houdroge</dc:creator>
  <cp:lastModifiedBy>Jetina Tsvaki</cp:lastModifiedBy>
  <dcterms:created xsi:type="dcterms:W3CDTF">2023-06-06T03:06:51Z</dcterms:created>
  <dcterms:modified xsi:type="dcterms:W3CDTF">2025-06-24T15:19:44Z</dcterms:modified>
</cp:coreProperties>
</file>